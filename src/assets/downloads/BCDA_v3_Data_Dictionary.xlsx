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hidePivotFieldList="1"/>
  <mc:AlternateContent xmlns:mc="http://schemas.openxmlformats.org/markup-compatibility/2006">
    <mc:Choice Requires="x15">
      <x15ac:absPath xmlns:x15ac="http://schemas.microsoft.com/office/spreadsheetml/2010/11/ac" url="D:\working\waccache\PH1NEPF0001834D\EXCELCNV\f78c0c85-7e9c-447f-bbe5-f2511349d2f6\"/>
    </mc:Choice>
  </mc:AlternateContent>
  <xr:revisionPtr revIDLastSave="0" documentId="8_{1CB206CB-A02E-4159-BF43-5FF0A529422B}" xr6:coauthVersionLast="47" xr6:coauthVersionMax="47" xr10:uidLastSave="{00000000-0000-0000-0000-000000000000}"/>
  <bookViews>
    <workbookView xWindow="-60" yWindow="-60" windowWidth="15480" windowHeight="11640" xr2:uid="{00000000-000D-0000-FFFF-FFFF00000000}"/>
  </bookViews>
  <sheets>
    <sheet name="Overview" sheetId="1" r:id="rId1"/>
    <sheet name="Data Dictionary" sheetId="6" r:id="rId2"/>
    <sheet name="CCLF-BCDA v3 Mapping" sheetId="3" r:id="rId3"/>
    <sheet name="CCLF fields absent from BCDA v3" sheetId="5" r:id="rId4"/>
  </sheets>
  <definedNames>
    <definedName name="_xlnm._FilterDatabase" localSheetId="2" hidden="1">'CCLF-BCDA v3 Mapping'!$A$1:$N$294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94" i="3" l="1"/>
  <c r="M294" i="3"/>
  <c r="L294" i="3"/>
  <c r="N293" i="3"/>
  <c r="M293" i="3"/>
  <c r="L293" i="3"/>
  <c r="N292" i="3"/>
  <c r="M292" i="3"/>
  <c r="L292" i="3"/>
  <c r="N291" i="3"/>
  <c r="M291" i="3"/>
  <c r="L291" i="3"/>
  <c r="N290" i="3"/>
  <c r="M290" i="3"/>
  <c r="L290" i="3"/>
  <c r="N289" i="3"/>
  <c r="M289" i="3"/>
  <c r="L289" i="3"/>
  <c r="N288" i="3"/>
  <c r="M288" i="3"/>
  <c r="L288" i="3"/>
  <c r="N287" i="3"/>
  <c r="M287" i="3"/>
  <c r="L287" i="3"/>
  <c r="N286" i="3"/>
  <c r="M286" i="3"/>
  <c r="L286" i="3"/>
  <c r="N285" i="3"/>
  <c r="M285" i="3"/>
  <c r="L285" i="3"/>
  <c r="N284" i="3"/>
  <c r="M284" i="3"/>
  <c r="L284" i="3"/>
  <c r="N283" i="3"/>
  <c r="M283" i="3"/>
  <c r="L283" i="3"/>
  <c r="N282" i="3"/>
  <c r="M282" i="3"/>
  <c r="L282" i="3"/>
  <c r="N281" i="3"/>
  <c r="M281" i="3"/>
  <c r="L281" i="3"/>
  <c r="N280" i="3"/>
  <c r="M280" i="3"/>
  <c r="L280" i="3"/>
  <c r="N279" i="3"/>
  <c r="M279" i="3"/>
  <c r="L279" i="3"/>
  <c r="N278" i="3"/>
  <c r="M278" i="3"/>
  <c r="L278" i="3"/>
  <c r="N277" i="3"/>
  <c r="M277" i="3"/>
  <c r="L277" i="3"/>
  <c r="N276" i="3"/>
  <c r="M276" i="3"/>
  <c r="L276" i="3"/>
  <c r="N275" i="3"/>
  <c r="M275" i="3"/>
  <c r="L275" i="3"/>
  <c r="N274" i="3"/>
  <c r="M274" i="3"/>
  <c r="L274" i="3"/>
  <c r="N273" i="3"/>
  <c r="M273" i="3"/>
  <c r="L273" i="3"/>
  <c r="N272" i="3"/>
  <c r="M272" i="3"/>
  <c r="L272" i="3"/>
  <c r="N271" i="3"/>
  <c r="M271" i="3"/>
  <c r="L271" i="3"/>
  <c r="N270" i="3"/>
  <c r="M270" i="3"/>
  <c r="L270" i="3"/>
  <c r="N269" i="3"/>
  <c r="M269" i="3"/>
  <c r="L269" i="3"/>
  <c r="N268" i="3"/>
  <c r="M268" i="3"/>
  <c r="L268" i="3"/>
  <c r="N267" i="3"/>
  <c r="M267" i="3"/>
  <c r="L267" i="3"/>
  <c r="N266" i="3"/>
  <c r="M266" i="3"/>
  <c r="L266" i="3"/>
  <c r="N265" i="3"/>
  <c r="M265" i="3"/>
  <c r="L265" i="3"/>
  <c r="N264" i="3"/>
  <c r="M264" i="3"/>
  <c r="L264" i="3"/>
  <c r="N263" i="3"/>
  <c r="M263" i="3"/>
  <c r="L263" i="3"/>
  <c r="N262" i="3"/>
  <c r="M262" i="3"/>
  <c r="L262" i="3"/>
  <c r="N261" i="3"/>
  <c r="M261" i="3"/>
  <c r="L261" i="3"/>
  <c r="N260" i="3"/>
  <c r="M260" i="3"/>
  <c r="L260" i="3"/>
  <c r="N259" i="3"/>
  <c r="M259" i="3"/>
  <c r="L259" i="3"/>
  <c r="N258" i="3"/>
  <c r="M258" i="3"/>
  <c r="L258" i="3"/>
  <c r="N257" i="3"/>
  <c r="M257" i="3"/>
  <c r="L257" i="3"/>
  <c r="N256" i="3"/>
  <c r="M256" i="3"/>
  <c r="L256" i="3"/>
  <c r="N255" i="3"/>
  <c r="M255" i="3"/>
  <c r="L255" i="3"/>
  <c r="N254" i="3"/>
  <c r="M254" i="3"/>
  <c r="L254" i="3"/>
  <c r="N253" i="3"/>
  <c r="M253" i="3"/>
  <c r="L253" i="3"/>
  <c r="N252" i="3"/>
  <c r="M252" i="3"/>
  <c r="L252" i="3"/>
  <c r="N251" i="3"/>
  <c r="M251" i="3"/>
  <c r="L251" i="3"/>
  <c r="N250" i="3"/>
  <c r="M250" i="3"/>
  <c r="L250" i="3"/>
  <c r="N249" i="3"/>
  <c r="M249" i="3"/>
  <c r="L249" i="3"/>
  <c r="N248" i="3"/>
  <c r="M248" i="3"/>
  <c r="L248" i="3"/>
  <c r="N247" i="3"/>
  <c r="M247" i="3"/>
  <c r="L247" i="3"/>
  <c r="N246" i="3"/>
  <c r="M246" i="3"/>
  <c r="L246" i="3"/>
  <c r="N245" i="3"/>
  <c r="M245" i="3"/>
  <c r="L245" i="3"/>
  <c r="N244" i="3"/>
  <c r="M244" i="3"/>
  <c r="L244" i="3"/>
  <c r="N243" i="3"/>
  <c r="M243" i="3"/>
  <c r="L243" i="3"/>
  <c r="N242" i="3"/>
  <c r="M242" i="3"/>
  <c r="L242" i="3"/>
  <c r="N241" i="3"/>
  <c r="M241" i="3"/>
  <c r="L241" i="3"/>
  <c r="N240" i="3"/>
  <c r="M240" i="3"/>
  <c r="L240" i="3"/>
  <c r="N239" i="3"/>
  <c r="M239" i="3"/>
  <c r="L239" i="3"/>
  <c r="N238" i="3"/>
  <c r="M238" i="3"/>
  <c r="L238" i="3"/>
  <c r="N237" i="3"/>
  <c r="M237" i="3"/>
  <c r="L237" i="3"/>
  <c r="N236" i="3"/>
  <c r="M236" i="3"/>
  <c r="L236" i="3"/>
  <c r="N235" i="3"/>
  <c r="M235" i="3"/>
  <c r="L235" i="3"/>
  <c r="N234" i="3"/>
  <c r="M234" i="3"/>
  <c r="L234" i="3"/>
  <c r="N233" i="3"/>
  <c r="M233" i="3"/>
  <c r="L233" i="3"/>
  <c r="N232" i="3"/>
  <c r="M232" i="3"/>
  <c r="L232" i="3"/>
  <c r="N231" i="3"/>
  <c r="M231" i="3"/>
  <c r="L231" i="3"/>
  <c r="N230" i="3"/>
  <c r="M230" i="3"/>
  <c r="L230" i="3"/>
  <c r="N229" i="3"/>
  <c r="M229" i="3"/>
  <c r="L229" i="3"/>
  <c r="N228" i="3"/>
  <c r="M228" i="3"/>
  <c r="L228" i="3"/>
  <c r="N227" i="3"/>
  <c r="M227" i="3"/>
  <c r="L227" i="3"/>
  <c r="N226" i="3"/>
  <c r="M226" i="3"/>
  <c r="L226" i="3"/>
  <c r="N225" i="3"/>
  <c r="M225" i="3"/>
  <c r="L225" i="3"/>
  <c r="N224" i="3"/>
  <c r="M224" i="3"/>
  <c r="L224" i="3"/>
  <c r="N223" i="3"/>
  <c r="M223" i="3"/>
  <c r="L223" i="3"/>
  <c r="N222" i="3"/>
  <c r="M222" i="3"/>
  <c r="L222" i="3"/>
  <c r="N221" i="3"/>
  <c r="M221" i="3"/>
  <c r="L221" i="3"/>
  <c r="N220" i="3"/>
  <c r="M220" i="3"/>
  <c r="L220" i="3"/>
  <c r="N219" i="3"/>
  <c r="M219" i="3"/>
  <c r="L219" i="3"/>
  <c r="N218" i="3"/>
  <c r="M218" i="3"/>
  <c r="L218" i="3"/>
  <c r="N217" i="3"/>
  <c r="M217" i="3"/>
  <c r="L217" i="3"/>
  <c r="N216" i="3"/>
  <c r="M216" i="3"/>
  <c r="L216" i="3"/>
  <c r="N215" i="3"/>
  <c r="M215" i="3"/>
  <c r="L215" i="3"/>
  <c r="N214" i="3"/>
  <c r="M214" i="3"/>
  <c r="L214" i="3"/>
  <c r="N213" i="3"/>
  <c r="M213" i="3"/>
  <c r="L213" i="3"/>
  <c r="N212" i="3"/>
  <c r="M212" i="3"/>
  <c r="L212" i="3"/>
  <c r="N211" i="3"/>
  <c r="M211" i="3"/>
  <c r="L211" i="3"/>
  <c r="N210" i="3"/>
  <c r="M210" i="3"/>
  <c r="L210" i="3"/>
  <c r="N209" i="3"/>
  <c r="M209" i="3"/>
  <c r="L209" i="3"/>
  <c r="N208" i="3"/>
  <c r="M208" i="3"/>
  <c r="L208" i="3"/>
  <c r="N207" i="3"/>
  <c r="M207" i="3"/>
  <c r="L207" i="3"/>
  <c r="N206" i="3"/>
  <c r="M206" i="3"/>
  <c r="L206" i="3"/>
  <c r="N205" i="3"/>
  <c r="M205" i="3"/>
  <c r="L205" i="3"/>
  <c r="N204" i="3"/>
  <c r="M204" i="3"/>
  <c r="L204" i="3"/>
  <c r="N203" i="3"/>
  <c r="M203" i="3"/>
  <c r="L203" i="3"/>
  <c r="N202" i="3"/>
  <c r="M202" i="3"/>
  <c r="L202" i="3"/>
  <c r="N201" i="3"/>
  <c r="M201" i="3"/>
  <c r="L201" i="3"/>
  <c r="N200" i="3"/>
  <c r="M200" i="3"/>
  <c r="L200" i="3"/>
  <c r="N199" i="3"/>
  <c r="M199" i="3"/>
  <c r="L199" i="3"/>
  <c r="N198" i="3"/>
  <c r="M198" i="3"/>
  <c r="L198" i="3"/>
  <c r="N197" i="3"/>
  <c r="M197" i="3"/>
  <c r="L197" i="3"/>
  <c r="N196" i="3"/>
  <c r="M196" i="3"/>
  <c r="L196" i="3"/>
  <c r="N195" i="3"/>
  <c r="M195" i="3"/>
  <c r="L195" i="3"/>
  <c r="N194" i="3"/>
  <c r="M194" i="3"/>
  <c r="L194" i="3"/>
  <c r="N193" i="3"/>
  <c r="M193" i="3"/>
  <c r="L193" i="3"/>
  <c r="N192" i="3"/>
  <c r="M192" i="3"/>
  <c r="L192" i="3"/>
  <c r="N191" i="3"/>
  <c r="M191" i="3"/>
  <c r="L191" i="3"/>
  <c r="N190" i="3"/>
  <c r="M190" i="3"/>
  <c r="L190" i="3"/>
  <c r="N189" i="3"/>
  <c r="M189" i="3"/>
  <c r="L189" i="3"/>
  <c r="N188" i="3"/>
  <c r="M188" i="3"/>
  <c r="L188" i="3"/>
  <c r="N187" i="3"/>
  <c r="M187" i="3"/>
  <c r="L187" i="3"/>
  <c r="N186" i="3"/>
  <c r="M186" i="3"/>
  <c r="L186" i="3"/>
  <c r="N185" i="3"/>
  <c r="M185" i="3"/>
  <c r="L185" i="3"/>
  <c r="N184" i="3"/>
  <c r="M184" i="3"/>
  <c r="L184" i="3"/>
  <c r="N183" i="3"/>
  <c r="M183" i="3"/>
  <c r="L183" i="3"/>
  <c r="N182" i="3"/>
  <c r="M182" i="3"/>
  <c r="L182" i="3"/>
  <c r="N181" i="3"/>
  <c r="M181" i="3"/>
  <c r="L181" i="3"/>
  <c r="N180" i="3"/>
  <c r="M180" i="3"/>
  <c r="L180" i="3"/>
  <c r="N179" i="3"/>
  <c r="M179" i="3"/>
  <c r="L179" i="3"/>
  <c r="N178" i="3"/>
  <c r="M178" i="3"/>
  <c r="L178" i="3"/>
  <c r="N177" i="3"/>
  <c r="M177" i="3"/>
  <c r="L177" i="3"/>
  <c r="N176" i="3"/>
  <c r="M176" i="3"/>
  <c r="L176" i="3"/>
  <c r="N175" i="3"/>
  <c r="M175" i="3"/>
  <c r="L175" i="3"/>
  <c r="N174" i="3"/>
  <c r="M174" i="3"/>
  <c r="L174" i="3"/>
  <c r="N173" i="3"/>
  <c r="M173" i="3"/>
  <c r="L173" i="3"/>
  <c r="N172" i="3"/>
  <c r="M172" i="3"/>
  <c r="L172" i="3"/>
  <c r="N171" i="3"/>
  <c r="M171" i="3"/>
  <c r="L171" i="3"/>
  <c r="N170" i="3"/>
  <c r="M170" i="3"/>
  <c r="L170" i="3"/>
  <c r="N169" i="3"/>
  <c r="M169" i="3"/>
  <c r="L169" i="3"/>
  <c r="N168" i="3"/>
  <c r="M168" i="3"/>
  <c r="L168" i="3"/>
  <c r="N167" i="3"/>
  <c r="M167" i="3"/>
  <c r="L167" i="3"/>
  <c r="N166" i="3"/>
  <c r="M166" i="3"/>
  <c r="L166" i="3"/>
  <c r="N165" i="3"/>
  <c r="M165" i="3"/>
  <c r="L165" i="3"/>
  <c r="N164" i="3"/>
  <c r="M164" i="3"/>
  <c r="L164" i="3"/>
  <c r="N163" i="3"/>
  <c r="M163" i="3"/>
  <c r="L163" i="3"/>
  <c r="N162" i="3"/>
  <c r="M162" i="3"/>
  <c r="L162" i="3"/>
  <c r="N161" i="3"/>
  <c r="M161" i="3"/>
  <c r="L161" i="3"/>
  <c r="N160" i="3"/>
  <c r="M160" i="3"/>
  <c r="L160" i="3"/>
  <c r="N159" i="3"/>
  <c r="M159" i="3"/>
  <c r="L159" i="3"/>
  <c r="N158" i="3"/>
  <c r="M158" i="3"/>
  <c r="L158" i="3"/>
  <c r="N157" i="3"/>
  <c r="M157" i="3"/>
  <c r="L157" i="3"/>
  <c r="N156" i="3"/>
  <c r="M156" i="3"/>
  <c r="L156" i="3"/>
  <c r="N155" i="3"/>
  <c r="M155" i="3"/>
  <c r="L155" i="3"/>
  <c r="N154" i="3"/>
  <c r="M154" i="3"/>
  <c r="L154" i="3"/>
  <c r="N153" i="3"/>
  <c r="M153" i="3"/>
  <c r="L153" i="3"/>
  <c r="N152" i="3"/>
  <c r="M152" i="3"/>
  <c r="L152" i="3"/>
  <c r="N151" i="3"/>
  <c r="M151" i="3"/>
  <c r="L151" i="3"/>
  <c r="N150" i="3"/>
  <c r="M150" i="3"/>
  <c r="L150" i="3"/>
  <c r="N149" i="3"/>
  <c r="M149" i="3"/>
  <c r="L149" i="3"/>
  <c r="N148" i="3"/>
  <c r="M148" i="3"/>
  <c r="L148" i="3"/>
  <c r="N147" i="3"/>
  <c r="M147" i="3"/>
  <c r="L147" i="3"/>
  <c r="N146" i="3"/>
  <c r="M146" i="3"/>
  <c r="L146" i="3"/>
  <c r="N145" i="3"/>
  <c r="M145" i="3"/>
  <c r="L145" i="3"/>
  <c r="N144" i="3"/>
  <c r="M144" i="3"/>
  <c r="L144" i="3"/>
  <c r="N143" i="3"/>
  <c r="M143" i="3"/>
  <c r="L143" i="3"/>
  <c r="N142" i="3"/>
  <c r="M142" i="3"/>
  <c r="L142" i="3"/>
  <c r="N141" i="3"/>
  <c r="M141" i="3"/>
  <c r="L141" i="3"/>
  <c r="N140" i="3"/>
  <c r="M140" i="3"/>
  <c r="L140" i="3"/>
  <c r="N139" i="3"/>
  <c r="M139" i="3"/>
  <c r="L139" i="3"/>
  <c r="N138" i="3"/>
  <c r="M138" i="3"/>
  <c r="L138" i="3"/>
  <c r="N137" i="3"/>
  <c r="M137" i="3"/>
  <c r="L137" i="3"/>
  <c r="N136" i="3"/>
  <c r="M136" i="3"/>
  <c r="L136" i="3"/>
  <c r="N135" i="3"/>
  <c r="M135" i="3"/>
  <c r="L135" i="3"/>
  <c r="N134" i="3"/>
  <c r="M134" i="3"/>
  <c r="L134" i="3"/>
  <c r="N133" i="3"/>
  <c r="M133" i="3"/>
  <c r="L133" i="3"/>
  <c r="N132" i="3"/>
  <c r="M132" i="3"/>
  <c r="L132" i="3"/>
  <c r="N131" i="3"/>
  <c r="M131" i="3"/>
  <c r="L131" i="3"/>
  <c r="N130" i="3"/>
  <c r="M130" i="3"/>
  <c r="L130" i="3"/>
  <c r="N129" i="3"/>
  <c r="M129" i="3"/>
  <c r="L129" i="3"/>
  <c r="N128" i="3"/>
  <c r="M128" i="3"/>
  <c r="L128" i="3"/>
  <c r="N127" i="3"/>
  <c r="M127" i="3"/>
  <c r="L127" i="3"/>
  <c r="N126" i="3"/>
  <c r="M126" i="3"/>
  <c r="L126" i="3"/>
  <c r="N125" i="3"/>
  <c r="M125" i="3"/>
  <c r="L125" i="3"/>
  <c r="N124" i="3"/>
  <c r="M124" i="3"/>
  <c r="L124" i="3"/>
  <c r="N123" i="3"/>
  <c r="M123" i="3"/>
  <c r="L123" i="3"/>
  <c r="N122" i="3"/>
  <c r="M122" i="3"/>
  <c r="L122" i="3"/>
  <c r="N121" i="3"/>
  <c r="M121" i="3"/>
  <c r="L121" i="3"/>
  <c r="N120" i="3"/>
  <c r="M120" i="3"/>
  <c r="L120" i="3"/>
  <c r="N119" i="3"/>
  <c r="M119" i="3"/>
  <c r="L119" i="3"/>
  <c r="N118" i="3"/>
  <c r="M118" i="3"/>
  <c r="L118" i="3"/>
  <c r="N117" i="3"/>
  <c r="M117" i="3"/>
  <c r="L117" i="3"/>
  <c r="N116" i="3"/>
  <c r="M116" i="3"/>
  <c r="L116" i="3"/>
  <c r="N115" i="3"/>
  <c r="M115" i="3"/>
  <c r="L115" i="3"/>
  <c r="N114" i="3"/>
  <c r="M114" i="3"/>
  <c r="L114" i="3"/>
  <c r="N113" i="3"/>
  <c r="M113" i="3"/>
  <c r="L113" i="3"/>
  <c r="N112" i="3"/>
  <c r="M112" i="3"/>
  <c r="L112" i="3"/>
  <c r="N111" i="3"/>
  <c r="M111" i="3"/>
  <c r="L111" i="3"/>
  <c r="N110" i="3"/>
  <c r="M110" i="3"/>
  <c r="L110" i="3"/>
  <c r="N109" i="3"/>
  <c r="M109" i="3"/>
  <c r="L109" i="3"/>
  <c r="N108" i="3"/>
  <c r="M108" i="3"/>
  <c r="L108" i="3"/>
  <c r="N107" i="3"/>
  <c r="M107" i="3"/>
  <c r="L107" i="3"/>
  <c r="N106" i="3"/>
  <c r="M106" i="3"/>
  <c r="L106" i="3"/>
  <c r="N105" i="3"/>
  <c r="M105" i="3"/>
  <c r="L105" i="3"/>
  <c r="N104" i="3"/>
  <c r="M104" i="3"/>
  <c r="L104" i="3"/>
  <c r="N103" i="3"/>
  <c r="M103" i="3"/>
  <c r="L103" i="3"/>
  <c r="N102" i="3"/>
  <c r="M102" i="3"/>
  <c r="L102" i="3"/>
  <c r="N101" i="3"/>
  <c r="M101" i="3"/>
  <c r="L101" i="3"/>
  <c r="N100" i="3"/>
  <c r="M100" i="3"/>
  <c r="L100" i="3"/>
  <c r="N99" i="3"/>
  <c r="M99" i="3"/>
  <c r="L99" i="3"/>
  <c r="N98" i="3"/>
  <c r="M98" i="3"/>
  <c r="L98" i="3"/>
  <c r="N97" i="3"/>
  <c r="M97" i="3"/>
  <c r="L97" i="3"/>
  <c r="N96" i="3"/>
  <c r="M96" i="3"/>
  <c r="L96" i="3"/>
  <c r="N95" i="3"/>
  <c r="M95" i="3"/>
  <c r="L95" i="3"/>
  <c r="N94" i="3"/>
  <c r="M94" i="3"/>
  <c r="L94" i="3"/>
  <c r="N93" i="3"/>
  <c r="M93" i="3"/>
  <c r="L93" i="3"/>
  <c r="N92" i="3"/>
  <c r="M92" i="3"/>
  <c r="L92" i="3"/>
  <c r="N91" i="3"/>
  <c r="M91" i="3"/>
  <c r="L91" i="3"/>
  <c r="N90" i="3"/>
  <c r="M90" i="3"/>
  <c r="L90" i="3"/>
  <c r="N89" i="3"/>
  <c r="M89" i="3"/>
  <c r="L89" i="3"/>
  <c r="N88" i="3"/>
  <c r="M88" i="3"/>
  <c r="L88" i="3"/>
  <c r="N87" i="3"/>
  <c r="M87" i="3"/>
  <c r="L87" i="3"/>
  <c r="N86" i="3"/>
  <c r="M86" i="3"/>
  <c r="L86" i="3"/>
  <c r="N85" i="3"/>
  <c r="M85" i="3"/>
  <c r="L85" i="3"/>
  <c r="N84" i="3"/>
  <c r="M84" i="3"/>
  <c r="L84" i="3"/>
  <c r="N83" i="3"/>
  <c r="M83" i="3"/>
  <c r="L83" i="3"/>
  <c r="N82" i="3"/>
  <c r="M82" i="3"/>
  <c r="L82" i="3"/>
  <c r="N81" i="3"/>
  <c r="M81" i="3"/>
  <c r="L81" i="3"/>
  <c r="N80" i="3"/>
  <c r="M80" i="3"/>
  <c r="L80" i="3"/>
  <c r="N79" i="3"/>
  <c r="M79" i="3"/>
  <c r="L79" i="3"/>
  <c r="N78" i="3"/>
  <c r="M78" i="3"/>
  <c r="L78" i="3"/>
  <c r="N77" i="3"/>
  <c r="M77" i="3"/>
  <c r="L77" i="3"/>
  <c r="N76" i="3"/>
  <c r="M76" i="3"/>
  <c r="L76" i="3"/>
  <c r="N75" i="3"/>
  <c r="M75" i="3"/>
  <c r="L75" i="3"/>
  <c r="N74" i="3"/>
  <c r="M74" i="3"/>
  <c r="L74" i="3"/>
  <c r="N73" i="3"/>
  <c r="M73" i="3"/>
  <c r="L73" i="3"/>
  <c r="N72" i="3"/>
  <c r="M72" i="3"/>
  <c r="L72" i="3"/>
  <c r="N71" i="3"/>
  <c r="M71" i="3"/>
  <c r="L71" i="3"/>
  <c r="N70" i="3"/>
  <c r="M70" i="3"/>
  <c r="L70" i="3"/>
  <c r="N69" i="3"/>
  <c r="M69" i="3"/>
  <c r="L69" i="3"/>
  <c r="N68" i="3"/>
  <c r="M68" i="3"/>
  <c r="L68" i="3"/>
  <c r="N67" i="3"/>
  <c r="M67" i="3"/>
  <c r="L67" i="3"/>
  <c r="N66" i="3"/>
  <c r="M66" i="3"/>
  <c r="L66" i="3"/>
  <c r="N65" i="3"/>
  <c r="M65" i="3"/>
  <c r="L65" i="3"/>
  <c r="N64" i="3"/>
  <c r="M64" i="3"/>
  <c r="L64" i="3"/>
  <c r="N63" i="3"/>
  <c r="M63" i="3"/>
  <c r="L63" i="3"/>
  <c r="N62" i="3"/>
  <c r="M62" i="3"/>
  <c r="L62" i="3"/>
  <c r="N61" i="3"/>
  <c r="M61" i="3"/>
  <c r="L61" i="3"/>
  <c r="N60" i="3"/>
  <c r="M60" i="3"/>
  <c r="L60" i="3"/>
  <c r="N59" i="3"/>
  <c r="M59" i="3"/>
  <c r="L59" i="3"/>
  <c r="N58" i="3"/>
  <c r="M58" i="3"/>
  <c r="L58" i="3"/>
  <c r="N57" i="3"/>
  <c r="M57" i="3"/>
  <c r="L57" i="3"/>
  <c r="N56" i="3"/>
  <c r="M56" i="3"/>
  <c r="L56" i="3"/>
  <c r="N55" i="3"/>
  <c r="M55" i="3"/>
  <c r="L55" i="3"/>
  <c r="N54" i="3"/>
  <c r="M54" i="3"/>
  <c r="L54" i="3"/>
  <c r="N53" i="3"/>
  <c r="M53" i="3"/>
  <c r="L53" i="3"/>
  <c r="N52" i="3"/>
  <c r="M52" i="3"/>
  <c r="L52" i="3"/>
  <c r="N51" i="3"/>
  <c r="M51" i="3"/>
  <c r="L51" i="3"/>
  <c r="N50" i="3"/>
  <c r="M50" i="3"/>
  <c r="L50" i="3"/>
  <c r="N49" i="3"/>
  <c r="M49" i="3"/>
  <c r="L49" i="3"/>
  <c r="N48" i="3"/>
  <c r="M48" i="3"/>
  <c r="L48" i="3"/>
  <c r="N47" i="3"/>
  <c r="M47" i="3"/>
  <c r="L47" i="3"/>
  <c r="N46" i="3"/>
  <c r="M46" i="3"/>
  <c r="L46" i="3"/>
  <c r="N45" i="3"/>
  <c r="M45" i="3"/>
  <c r="L45" i="3"/>
  <c r="N44" i="3"/>
  <c r="M44" i="3"/>
  <c r="L44" i="3"/>
  <c r="N43" i="3"/>
  <c r="M43" i="3"/>
  <c r="L43" i="3"/>
  <c r="N42" i="3"/>
  <c r="M42" i="3"/>
  <c r="L42" i="3"/>
  <c r="N41" i="3"/>
  <c r="M41" i="3"/>
  <c r="L41" i="3"/>
  <c r="N40" i="3"/>
  <c r="M40" i="3"/>
  <c r="L40" i="3"/>
  <c r="N39" i="3"/>
  <c r="M39" i="3"/>
  <c r="L39" i="3"/>
  <c r="N38" i="3"/>
  <c r="M38" i="3"/>
  <c r="L38" i="3"/>
  <c r="N37" i="3"/>
  <c r="M37" i="3"/>
  <c r="L37" i="3"/>
  <c r="N36" i="3"/>
  <c r="M36" i="3"/>
  <c r="L36" i="3"/>
  <c r="N35" i="3"/>
  <c r="M35" i="3"/>
  <c r="L35" i="3"/>
  <c r="N34" i="3"/>
  <c r="M34" i="3"/>
  <c r="L34" i="3"/>
  <c r="N33" i="3"/>
  <c r="M33" i="3"/>
  <c r="L33" i="3"/>
  <c r="N32" i="3"/>
  <c r="M32" i="3"/>
  <c r="L32" i="3"/>
  <c r="N31" i="3"/>
  <c r="M31" i="3"/>
  <c r="L31" i="3"/>
  <c r="N30" i="3"/>
  <c r="M30" i="3"/>
  <c r="L30" i="3"/>
  <c r="N29" i="3"/>
  <c r="M29" i="3"/>
  <c r="L29" i="3"/>
  <c r="N28" i="3"/>
  <c r="M28" i="3"/>
  <c r="L28" i="3"/>
  <c r="N27" i="3"/>
  <c r="M27" i="3"/>
  <c r="L27" i="3"/>
  <c r="N26" i="3"/>
  <c r="M26" i="3"/>
  <c r="L26" i="3"/>
  <c r="N25" i="3"/>
  <c r="M25" i="3"/>
  <c r="L25" i="3"/>
  <c r="N24" i="3"/>
  <c r="M24" i="3"/>
  <c r="L24" i="3"/>
  <c r="N23" i="3"/>
  <c r="M23" i="3"/>
  <c r="L23" i="3"/>
  <c r="N22" i="3"/>
  <c r="M22" i="3"/>
  <c r="L22" i="3"/>
  <c r="N21" i="3"/>
  <c r="M21" i="3"/>
  <c r="L21" i="3"/>
  <c r="N20" i="3"/>
  <c r="M20" i="3"/>
  <c r="L20" i="3"/>
  <c r="N19" i="3"/>
  <c r="M19" i="3"/>
  <c r="L19" i="3"/>
  <c r="N18" i="3"/>
  <c r="M18" i="3"/>
  <c r="L18" i="3"/>
  <c r="N17" i="3"/>
  <c r="M17" i="3"/>
  <c r="L17" i="3"/>
  <c r="N16" i="3"/>
  <c r="M16" i="3"/>
  <c r="L16" i="3"/>
  <c r="N15" i="3"/>
  <c r="M15" i="3"/>
  <c r="L15" i="3"/>
  <c r="N14" i="3"/>
  <c r="M14" i="3"/>
  <c r="L14" i="3"/>
  <c r="N13" i="3"/>
  <c r="M13" i="3"/>
  <c r="L13" i="3"/>
  <c r="N12" i="3"/>
  <c r="M12" i="3"/>
  <c r="L12" i="3"/>
  <c r="N11" i="3"/>
  <c r="M11" i="3"/>
  <c r="L11" i="3"/>
  <c r="N10" i="3"/>
  <c r="M10" i="3"/>
  <c r="L10" i="3"/>
  <c r="N9" i="3"/>
  <c r="M9" i="3"/>
  <c r="L9" i="3"/>
  <c r="N8" i="3"/>
  <c r="M8" i="3"/>
  <c r="L8" i="3"/>
  <c r="N7" i="3"/>
  <c r="M7" i="3"/>
  <c r="L7" i="3"/>
  <c r="N6" i="3"/>
  <c r="M6" i="3"/>
  <c r="L6" i="3"/>
  <c r="N5" i="3"/>
  <c r="M5" i="3"/>
  <c r="L5" i="3"/>
  <c r="N4" i="3"/>
  <c r="M4" i="3"/>
  <c r="L4" i="3"/>
  <c r="N3" i="3"/>
  <c r="M3" i="3"/>
  <c r="L3" i="3"/>
  <c r="L2" i="3"/>
  <c r="N2" i="3"/>
  <c r="M2" i="3"/>
  <c r="A2" i="5" s="1" a="1"/>
  <c r="A2" i="5" s="1"/>
  <c r="K294" i="3"/>
  <c r="K293" i="3"/>
  <c r="K292" i="3"/>
  <c r="K291" i="3"/>
  <c r="K290" i="3"/>
  <c r="K289" i="3"/>
  <c r="K288" i="3"/>
  <c r="K287" i="3"/>
  <c r="K286" i="3"/>
  <c r="K285" i="3"/>
  <c r="K284" i="3"/>
  <c r="K283" i="3"/>
  <c r="K282" i="3"/>
  <c r="K281" i="3"/>
  <c r="K280" i="3"/>
  <c r="K279" i="3"/>
  <c r="K278" i="3"/>
  <c r="K277" i="3"/>
  <c r="K276" i="3"/>
  <c r="K275" i="3"/>
  <c r="K274" i="3"/>
  <c r="K273" i="3"/>
  <c r="K272" i="3"/>
  <c r="K271" i="3"/>
  <c r="K270" i="3"/>
  <c r="K269" i="3"/>
  <c r="K268" i="3"/>
  <c r="K267" i="3"/>
  <c r="K266" i="3"/>
  <c r="K265" i="3"/>
  <c r="K264" i="3"/>
  <c r="K263" i="3"/>
  <c r="K262" i="3"/>
  <c r="K261" i="3"/>
  <c r="K260" i="3"/>
  <c r="K259" i="3"/>
  <c r="K258" i="3"/>
  <c r="K257" i="3"/>
  <c r="K256" i="3"/>
  <c r="K255" i="3"/>
  <c r="K254" i="3"/>
  <c r="K253" i="3"/>
  <c r="K252" i="3"/>
  <c r="K251" i="3"/>
  <c r="K250" i="3"/>
  <c r="K249" i="3"/>
  <c r="K248" i="3"/>
  <c r="K247" i="3"/>
  <c r="K246" i="3"/>
  <c r="K245" i="3"/>
  <c r="K244" i="3"/>
  <c r="K243" i="3"/>
  <c r="K242" i="3"/>
  <c r="K241" i="3"/>
  <c r="K240" i="3"/>
  <c r="K239" i="3"/>
  <c r="K238" i="3"/>
  <c r="K237" i="3"/>
  <c r="K236" i="3"/>
  <c r="K235" i="3"/>
  <c r="K234" i="3"/>
  <c r="K233" i="3"/>
  <c r="K232" i="3"/>
  <c r="K231" i="3"/>
  <c r="K230" i="3"/>
  <c r="K229" i="3"/>
  <c r="K228" i="3"/>
  <c r="K227" i="3"/>
  <c r="K226" i="3"/>
  <c r="K225" i="3"/>
  <c r="K224" i="3"/>
  <c r="K223" i="3"/>
  <c r="K222" i="3"/>
  <c r="K221" i="3"/>
  <c r="K220" i="3"/>
  <c r="K219" i="3"/>
  <c r="K218" i="3"/>
  <c r="K217" i="3"/>
  <c r="K216" i="3"/>
  <c r="K215" i="3"/>
  <c r="K214" i="3"/>
  <c r="K213" i="3"/>
  <c r="K212" i="3"/>
  <c r="K211" i="3"/>
  <c r="K210" i="3"/>
  <c r="K209" i="3"/>
  <c r="K208" i="3"/>
  <c r="K207" i="3"/>
  <c r="K206" i="3"/>
  <c r="K205" i="3"/>
  <c r="K204" i="3"/>
  <c r="K203" i="3"/>
  <c r="K202" i="3"/>
  <c r="K201" i="3"/>
  <c r="K200" i="3"/>
  <c r="K199" i="3"/>
  <c r="K198" i="3"/>
  <c r="K197" i="3"/>
  <c r="K196" i="3"/>
  <c r="K195" i="3"/>
  <c r="K194" i="3"/>
  <c r="K193" i="3"/>
  <c r="K192" i="3"/>
  <c r="K191" i="3"/>
  <c r="K190" i="3"/>
  <c r="K189" i="3"/>
  <c r="K188" i="3"/>
  <c r="K187" i="3"/>
  <c r="K186" i="3"/>
  <c r="K185" i="3"/>
  <c r="K184" i="3"/>
  <c r="K183" i="3"/>
  <c r="K182" i="3"/>
  <c r="K181" i="3"/>
  <c r="K180" i="3"/>
  <c r="K179" i="3"/>
  <c r="K178" i="3"/>
  <c r="K177" i="3"/>
  <c r="K176" i="3"/>
  <c r="K175" i="3"/>
  <c r="K174" i="3"/>
  <c r="K173" i="3"/>
  <c r="K172" i="3"/>
  <c r="K171" i="3"/>
  <c r="K170" i="3"/>
  <c r="K169" i="3"/>
  <c r="K168" i="3"/>
  <c r="K167" i="3"/>
  <c r="K166" i="3"/>
  <c r="K165" i="3"/>
  <c r="K164" i="3"/>
  <c r="K163" i="3"/>
  <c r="K162" i="3"/>
  <c r="K161" i="3"/>
  <c r="K160" i="3"/>
  <c r="K159" i="3"/>
  <c r="K158" i="3"/>
  <c r="K157" i="3"/>
  <c r="K156" i="3"/>
  <c r="K155" i="3"/>
  <c r="K154" i="3"/>
  <c r="K153" i="3"/>
  <c r="K152" i="3"/>
  <c r="K151" i="3"/>
  <c r="K150" i="3"/>
  <c r="K149" i="3"/>
  <c r="K148" i="3"/>
  <c r="K147" i="3"/>
  <c r="K146" i="3"/>
  <c r="K145" i="3"/>
  <c r="K144" i="3"/>
  <c r="K143" i="3"/>
  <c r="K142"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K2"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<sst xmlns="http://schemas.openxmlformats.org/spreadsheetml/2006/main" count="5134" uniqueCount="2494">
  <si>
    <t>BCDA v3 Data Dictionary</t>
  </si>
  <si>
    <t>Introduction</t>
  </si>
  <si>
    <t>The BCDA v3 Data Dictionary helps organizations adopt the HL7 FHIR standard. It covers BCDA version 3 (based on FHIR R4). Each CCLF data element is mapped to its equivalent home in the FHIR data model, along with information to help parse the FHIR payload correctly. Below are clarifications on some worksheets and fields (not a complete list) whose labels may not be intuitive.</t>
  </si>
  <si>
    <t>Publish Date</t>
  </si>
  <si>
    <t>Worksheet Descriptions</t>
  </si>
  <si>
    <t>Worksheet Name</t>
  </si>
  <si>
    <t>Description</t>
  </si>
  <si>
    <t>Data Dictionary</t>
  </si>
  <si>
    <t>A complete list of all FHIR R4 resources and data elements available from BCDA v3. This is sourced from the BFD v3 Data Dictionary.</t>
  </si>
  <si>
    <t>CCLF-BCDA v3 Mapping</t>
  </si>
  <si>
    <t>Mappings between CCLF and BCDA v3 (based on FHIR R4). This is sourced from Appendix B of the CCLF Information Packet and supplemented with information from the BFD v3 Data Dictionary.</t>
  </si>
  <si>
    <t>CCLF fields absent from BCDA v3</t>
  </si>
  <si>
    <t>A complete list of all CCLF fields not available in BCDA v3.</t>
  </si>
  <si>
    <t>Tips &amp; Tricks</t>
  </si>
  <si>
    <t>Topic</t>
  </si>
  <si>
    <t>Tip</t>
  </si>
  <si>
    <t>Identifying Partially-adjudicated Claims</t>
  </si>
  <si>
    <t>To discriminate partially-adjudicated claims from adjudicated claims, the EOB.status key should be used. Status information in EOB.status is populated with 'partial' or 'complete'.</t>
  </si>
  <si>
    <t>Utilizing FHIRPath</t>
  </si>
  <si>
    <t>There are a wealth of FHIRPath implementations. A list of some are available at https://confluence.hl7.org/spaces/FHIRI/pages/161060129/FHIRPath+Implementations , and this Data Dictionary utilizes FHIRPath.js, available at https://github.com/HL7/fhirpath.js</t>
  </si>
  <si>
    <t>Handling arrays with FHIRPath</t>
  </si>
  <si>
    <t>We recommend utilizing the cardinality field in order to determine if the evaluation of a FHIRPath expression may return multiple resources. If so, there are several options, such as modifying the FHIRPath to only return a single result (for example, Patient.address.state -&gt; Patient.address[0].state), or manipulating the data after the expression has been evaluated.</t>
  </si>
  <si>
    <t>Bug Reports + Suggestions</t>
  </si>
  <si>
    <t>Please share your questsion and feedback with the BCDA team via email at bcapi@cms.hhs.gov</t>
  </si>
  <si>
    <t>Utilizing Terminology Resources</t>
  </si>
  <si>
    <t>The URLs available in the 'referenceTable' column point to CodeSystem resources that enumerate the potential values for a given field. Of note, these are only populated for CMS-specific terminology that would not be found elsewhere.</t>
  </si>
  <si>
    <t>Going from v2 -&gt; v3 mappings</t>
  </si>
  <si>
    <t>The 'ccwMapping' column aligns with the 'CCW Mapping' field in the v2 data dictionary. Not all data is stored the same way between CCW and the IDR. Monthly fields in BCDA v2 are no longer represented in BCDA v3 as discrete elements, but they can be derived. For example, the data represented by CST_SHR_GRP_CD_01 in BFD v2 is now represented by three discrete variables, and the applicability refers to the current state rather than a given month.</t>
  </si>
  <si>
    <t>Mapping from CCLF</t>
  </si>
  <si>
    <t>The 'cclfMapping' column aligns with the 'CCLF Mapping' field in the v2 data dictionary.</t>
  </si>
  <si>
    <t>Apparent errors in 'appliesTo' and 'sources'</t>
  </si>
  <si>
    <t>The appliesTo and sources columns are sourced from source to target mapping files of BFD's upstream source. Because BFD's upstream source compiles information from multiple sources itself, there can be inconsistencies in availability of specific fields. BFD plans to make note of these inconsistencies over time.</t>
  </si>
  <si>
    <t>Notice of Hospice Election</t>
  </si>
  <si>
    <t>Partially-adjudicated claims with claim type codes 1900 and 2900 do not receive adjudicated claim versions. They represent a notice of hospice election.</t>
  </si>
  <si>
    <t>Reference Information</t>
  </si>
  <si>
    <t>Document Version</t>
  </si>
  <si>
    <t>Reference Document</t>
  </si>
  <si>
    <t>2.248.0</t>
  </si>
  <si>
    <t>Beneficiary FHIR Data Server (BFD) v3 Data Dictionary</t>
  </si>
  <si>
    <t>v42</t>
  </si>
  <si>
    <t>CCLF Information Packet</t>
  </si>
  <si>
    <t>Row</t>
  </si>
  <si>
    <t>Field Name</t>
  </si>
  <si>
    <t>FHIR Resource</t>
  </si>
  <si>
    <t>Coverage / Claim Type</t>
  </si>
  <si>
    <t>fhirPath</t>
  </si>
  <si>
    <t>example</t>
  </si>
  <si>
    <t>notes</t>
  </si>
  <si>
    <t>sourceView</t>
  </si>
  <si>
    <t>sourceColumn</t>
  </si>
  <si>
    <t>bfdDerived</t>
  </si>
  <si>
    <t>sources</t>
  </si>
  <si>
    <t>referenceTable</t>
  </si>
  <si>
    <t>cclfMapping</t>
  </si>
  <si>
    <t>ccwMapping</t>
  </si>
  <si>
    <t>profiles</t>
  </si>
  <si>
    <t>Claim Unique ID</t>
  </si>
  <si>
    <t>AN INTEGRATED DATA REPOSITORY (IDR) ASSIGNED SURROGATE KEY USED TO IDENTIFY A CLAIM.</t>
  </si>
  <si>
    <t>ExplanationOfBenefit</t>
  </si>
  <si>
    <t>['Pharmacy']</t>
  </si>
  <si>
    <t>ExplanationOfBenefit.identifier.where(type.coding.system = 'http://hl7.org/fhir/us/carin-bb/CodeSystem/C4BBIdentifierType' and type.coding.code = 'uc' ).value</t>
  </si>
  <si>
    <t>PHARM-2024-0012345</t>
  </si>
  <si>
    <t>V2_MDCR_CLM</t>
  </si>
  <si>
    <t>CLM_UNIQ_ID</t>
  </si>
  <si>
    <t>['DDPS']</t>
  </si>
  <si>
    <t>['CCLF7.CUR_CLM_UNIQ_ID']</t>
  </si>
  <si>
    <t>['PDE_ID']</t>
  </si>
  <si>
    <t>['Basis', 'Regular', 'CMS']</t>
  </si>
  <si>
    <t>Original Claim Control Number</t>
  </si>
  <si>
    <t>This field contains the original claim control number for adjusted or corrected claims. It provides a reference to the prior claim that this claim is adjusting or correcting.</t>
  </si>
  <si>
    <t>ExplanationOfBenefit.identifier.where(system = 'https://bluebutton.cms.gov/identifiers/CLM-CNTL-NUM').value</t>
  </si>
  <si>
    <t>CNTL20240012340</t>
  </si>
  <si>
    <t>CLM_ORIG_CNTL_NUM</t>
  </si>
  <si>
    <t>Claim Type Code</t>
  </si>
  <si>
    <t>A CODE IDENTIFYING THE SOURCE AND TYPE OF CLAIM SUBMITTED THROUGH THE MEDICARE OR MEDICAID PROGRAM.  FOR EXAMPLE:  60 = MEDICARE  NATIONAL CLAIMS HISTORY (NCH) INPATIENT CLAIM   8900 = MEDICAID FEE FOR SERVICE DENTAL     REFERENCE TABLE: CLM_TYPE_CD</t>
  </si>
  <si>
    <t>ExplanationOfBenefit.type.coding.where(system = 'https://bluebutton.cms.gov/fhir/CodeSystem/CLM-TYPE-CD').code</t>
  </si>
  <si>
    <t>1</t>
  </si>
  <si>
    <t>CLM_TYPE_CD</t>
  </si>
  <si>
    <t>https://bluebutton.cms.gov/fhir/CodeSystem/CLM-TYPE-CD</t>
  </si>
  <si>
    <t>['CCLF7.CLM_TYPE_CD']</t>
  </si>
  <si>
    <t>Beneficiary Source Key - On Claim</t>
  </si>
  <si>
    <t>ExplanationOfBenefit.patient.reference.substring(8)</t>
  </si>
  <si>
    <t>123456789</t>
  </si>
  <si>
    <t>Claim From Date</t>
  </si>
  <si>
    <t>A DATE IDENTIFYING THE FIRST DAY SERVICES ARE PROVIDED TO A BENEFICIARY.</t>
  </si>
  <si>
    <t>ExplanationOfBenefit.billablePeriod.start</t>
  </si>
  <si>
    <t>2024-01-15</t>
  </si>
  <si>
    <t>CLM_FROM_DT</t>
  </si>
  <si>
    <t>Claim Thru Date</t>
  </si>
  <si>
    <t>A DATE IDENTIFYING THE LAST DAY SERVICES ARE PROVIDED TO A BENEFICIARY.  NOTE: FOR DRUG CLAIMS, THIS DATE IS WHEN THE PRESCRIPTION WAS FILLED.</t>
  </si>
  <si>
    <t>ExplanationOfBenefit.billablePeriod.end</t>
  </si>
  <si>
    <t>CLM_THRU_DT</t>
  </si>
  <si>
    <t>Claim Effective Date</t>
  </si>
  <si>
    <t>A DATE CORRESPONDING TO THE NATIONAL CLAIM HISTORY (NCH) WEEKLY PROCESSING DATE AND USED IN FINAL ACTION PROCESSING TO IDENTIFY A VERSION OF A CLAIM. IT WILL ALWAYS BE A FRIDAY DATE.</t>
  </si>
  <si>
    <t>ExplanationOfBenefit.created</t>
  </si>
  <si>
    <t>CLM_EFCTV_DT</t>
  </si>
  <si>
    <t>['CCLF7.CLM_EFCTV_DT']</t>
  </si>
  <si>
    <t>Claim Source ID</t>
  </si>
  <si>
    <t>AN IDENTIFIER INDICATING WHERE THE SOURCE OF THE CLAIM DATA IN THE INTEGRATED DATA REPOSITORY (IDR) ORIGINATED FROM.   VALID VALUES:  20000 = NATIONAL CLAIMS HISTORY (NCH)  21000 = FISCAL INTERMEDIARY SHARED SYSTEM (FISS)  22000 = MULTI-CARRIER SYSTEM (MCS)  23000 = VIABLE INFORMATION PROCESSING SYSTEMS (VIPS) MEDICARE SYSTEM (VMS)  24000 = ENCOUNTER DATA PROCESSING SYSTEM (EDPS)  25000 = ENCOUNTER MEDICAID DUALS 837 CLAIMS  AND DUALS MEDICAID DRUG CLAIMS (DMDC)  N/A = MEDICAID</t>
  </si>
  <si>
    <t>ExplanationOfBenefit.meta.source</t>
  </si>
  <si>
    <t>DDPS</t>
  </si>
  <si>
    <t>CLM_SRC_ID</t>
  </si>
  <si>
    <t>https://bluebutton.cms.gov/fhir/CodeSystem/CLM-SRC-ID</t>
  </si>
  <si>
    <t>Service Provider Generic ID Number</t>
  </si>
  <si>
    <t>A NUMBER USED TO IDENTIFY A SERVICE PROVIDER.</t>
  </si>
  <si>
    <t>ExplanationOfBenefit.contained.where(id = %context.provider.reference.substring(1)).identifier.where(system='http://bluebutton.cms.gov/fhir/identifiers/GenericIdNum').value</t>
  </si>
  <si>
    <t>1942945159</t>
  </si>
  <si>
    <t>CLM_SRVC_PRVDR_GNRC_ID_NUM</t>
  </si>
  <si>
    <t>['CCLF7.CLM_SRVC_PRVDR_GNRC_ID_NUM']</t>
  </si>
  <si>
    <t>['SRVC_PRVDR_ID']</t>
  </si>
  <si>
    <t>Service Provider NPI Number</t>
  </si>
  <si>
    <t>A NUMBER IDENTIFYING THE NATIONAL PROVIDER IDENTIFIER (NPI) OF A SERVICE PROVIDER AS SOURCED FROM THE NPI CROSSWALK REFERENCE INFORMATION PROVIDED BY THE NATIONAL PLAN AND PROVIDER ENUMERATION SYSTEM (NPPES).</t>
  </si>
  <si>
    <t>ExplanationOfBenefit.contained.where(id = %root.provider.reference.substring(1)).identifier.where(system='http://hl7.org/fhir/sid/us-npi').value</t>
  </si>
  <si>
    <t>CCLF7.CLM_SRVC_PRVDR_GNRC_ID_NUM can provide NCPDP numbers in .008% of instances (among other rare ID types). These are surfaced as generic ID numbers, and may require a different FHIRPath expression (using system = "http://bluebutton.cms.gov/fhir/identifiers/GenericIdNum").</t>
  </si>
  <si>
    <t>PRVDR_SRVC_PRVDR_NPI_NUM</t>
  </si>
  <si>
    <t>Provider Service Identifier Qualifier Code</t>
  </si>
  <si>
    <t>A CODE INDICATING THE TYPE OF NUMBER USED TO IDENTIFY A SERVICE PROVIDER ON A CLAIM.  FOR EXAMPLE:  01 = NPI  07 = NCPDP NUMBER  08 = STATE LICENSE NUMBER    REFERENCE TABLE: CLM_PRVDR_ID_QLFYR_CD</t>
  </si>
  <si>
    <t>ExplanationOfBenefit.contained.where(id = %context.provider.reference.substring(1)).identifier.type.where(system='http://bluebutton.cms.gov/fhir/CodeSystem/PRVDR-ID-QLFYR-CD').code</t>
  </si>
  <si>
    <t>PRVDR_SRVC_ID_QLFYR_CD</t>
  </si>
  <si>
    <t>['CCLF7.PRVDR_SRVC_ID_QLFYR_CD']</t>
  </si>
  <si>
    <t>Provider Prescribing Identifier Qualifier Code</t>
  </si>
  <si>
    <t>A CODE INDICATING THE TYPE OF NUMBER USED TO IDENTIFY A PRESCRIBING PROVIDER ON A CLAIM.  FOR EXAMPLE:  01 = NPI  07 = NCPDP NUMBER  08 = STATE LICENSE NUMBER    REFERENCE TABLE: CLM_PRVDR_ID_QLFYR_CD</t>
  </si>
  <si>
    <t>ExplanationOfBenefit.careTeam.where(role.coding.where(code = 'prescribing').exists()).provider.identifier.type.coding.where(system='http://bluebutton.cms.gov/fhir/CodeSystem/PRVDR-ID-QLFYR-CD').code</t>
  </si>
  <si>
    <t>01</t>
  </si>
  <si>
    <t>PRVDR_PRSBNG_ID_QLFYR_CD</t>
  </si>
  <si>
    <t>['CCLF7.PRVDR_PRSBNG_ID_QLFYR_CD']</t>
  </si>
  <si>
    <t>Prescribing Provider Generic ID Number</t>
  </si>
  <si>
    <t>A NUMBER IDENTIFYING A GENERIC IDENTIFIER OF A PRESCRIBING PROVIDER SUBMITTED ON A DRUG CLAIM.</t>
  </si>
  <si>
    <t>ExplanationOfBenefit.careTeam.where(role.coding.where(code='prescribing').exists()).provider.identifier.where(system='http://bluebutton.cms.gov/fhir/identifiers/GenericIdNum').value</t>
  </si>
  <si>
    <t>CLM_PRSBNG_PRVDR_GNRC_ID_NUM</t>
  </si>
  <si>
    <t>['CCLF7.CLM_PRSBNG_PRVDR_GNRC_ID_NUM']</t>
  </si>
  <si>
    <t>['PRSCRBR_ID']</t>
  </si>
  <si>
    <t>Prescribing Provider NPI Number</t>
  </si>
  <si>
    <t>A NUMBER IDENTIFYING THE NATIONAL PROVIDER IDENTIFIER (NPI) OF A PRESCRIBING PROVIDER AS SOURCED FROM THE NPI CROSSWALK REFERENCE INFORMATION PROVIDED BY THE NATIONAL PLAN AND PROVIDER ENUMERATION SYSTEM (NPPES).</t>
  </si>
  <si>
    <t>ExplanationOfBenefit.careTeam.where(role.coding.where(code='prescribing').exists()).provider.identifier.where(system='http://hl7.org/fhir/sid/us-npi').value</t>
  </si>
  <si>
    <t>Not all will populate an NPI. Some will be other types, see CLM_PRSBNG_PRVDR_GNRC_ID_NUM.</t>
  </si>
  <si>
    <t>PRVDR_PRSCRBNG_PRVDR_NPI_NUM</t>
  </si>
  <si>
    <t>Prescribing Provider Last Name</t>
  </si>
  <si>
    <t>Last name of the prescribing provider</t>
  </si>
  <si>
    <t>ExplanationOfBenefit.careTeam.where(role.coding.where(code='prescribing').exists()).provider.display</t>
  </si>
  <si>
    <t>Stark, Tony</t>
  </si>
  <si>
    <t>V2_MDCR_PRVDR_HSTRY</t>
  </si>
  <si>
    <t>PRVDR_LAST_NAME</t>
  </si>
  <si>
    <t>Payment Date</t>
  </si>
  <si>
    <t>A DATE INDICATING WHEN A CLAIM WAS PAID.</t>
  </si>
  <si>
    <t>ExplanationOfBenefit.payment.date</t>
  </si>
  <si>
    <t>2024-01-20</t>
  </si>
  <si>
    <t>CLM_PD_DT</t>
  </si>
  <si>
    <t>['PD_DT']</t>
  </si>
  <si>
    <t>Claim Process Date</t>
  </si>
  <si>
    <t>DATE A CLAIM OR PRESCRIPTION DRUG EVENT WAS PROCESSED BY A CMS FRONT END SYSTEM, SUCH AS THE DDPS OPERATIONAL DATA STORE.</t>
  </si>
  <si>
    <t>ExplanationOfBenefit.supportingInfo.where(category.coding.where(system='https://bluebutton.cms.gov/fhir/CodeSystem/Supporting-Information').exists() and category.coding.where(code='CLM_CMS_PROC_DT').exists()).timing</t>
  </si>
  <si>
    <t>2024-01-18</t>
  </si>
  <si>
    <t>V2_MDCR_CLM_DT_SGNTR</t>
  </si>
  <si>
    <t>CLM_CMS_PROC_DT</t>
  </si>
  <si>
    <t>['CMS']</t>
  </si>
  <si>
    <t>Claim Submission Format Code</t>
  </si>
  <si>
    <t>A code identifying the format of the claim as submitted.</t>
  </si>
  <si>
    <t>ExplanationOfBenefit.supportingInfo.where(category.coding.where(system='https://bluebutton.cms.gov/fhir/CodeSystem/Supporting-Information').exists() and category.coding.where(code='CLM_SBMT_FRMT_CD').exists()).code.coding.code</t>
  </si>
  <si>
    <t>X</t>
  </si>
  <si>
    <t>CLM_SBMT_FRMT_CD</t>
  </si>
  <si>
    <t>https://bluebutton.cms.gov/fhir/CodeSystem/CLM-SBMT-FRMT-CD</t>
  </si>
  <si>
    <t>['NSTD_FRMT_CD']</t>
  </si>
  <si>
    <t>['Regular', 'CMS']</t>
  </si>
  <si>
    <t>Beneficiary Payment Amount</t>
  </si>
  <si>
    <t>AN AMOUNT PAID BY A BENEFICIARY FOR SERVICES RENDERED ON A CLAIM.</t>
  </si>
  <si>
    <t>ExplanationOfBenefit.total.where(category.coding.where(system='http://hl7.org/fhir/us/carin-bb/CodeSystem/C4BBAdjudication' and code='paidbypatient').exists() and category.coding.where(system='https://bluebutton.cms.gov/fhir/CodeSystem/Adjudication' and code='CLM_BENE_PMT_AMT').exists()).amount.value</t>
  </si>
  <si>
    <t>CLM_BENE_PMT_AMT</t>
  </si>
  <si>
    <t>['PTNT_PAY_AMT']</t>
  </si>
  <si>
    <t>Other Third Party Paid Amount</t>
  </si>
  <si>
    <t>AN AMOUNT IDENTIFYING HOW MUCH WAS PAID BY A THIRD PARTY PAYER.</t>
  </si>
  <si>
    <t>ExplanationOfBenefit.total.where(category.coding.where(system='https://bluebutton.cms.gov/fhir/CodeSystem/Adjudication' and code='CLM_OTHR_TP_PD_AMT').exists()).amount.value</t>
  </si>
  <si>
    <t>CLM_OTHR_TP_PD_AMT</t>
  </si>
  <si>
    <t>Submitter Contract Number</t>
  </si>
  <si>
    <t>The contract number of the plan that submitted the claim.</t>
  </si>
  <si>
    <t>ExplanationOfBenefit.supportingInfo.where(category.coding.where(system='https://bluebutton.cms.gov/fhir/CodeSystem/Supporting-Information').exists() and category.coding.where(code='CLM_SBMTR_CNTRCT_NUM').exists()).value</t>
  </si>
  <si>
    <t>H1234</t>
  </si>
  <si>
    <t>CLM_SBMTR_CNTRCT_NUM</t>
  </si>
  <si>
    <t>['PLAN_CNTRCT_REC_ID']</t>
  </si>
  <si>
    <t>Submitter PBP Number</t>
  </si>
  <si>
    <t>The Plan Benefit Package (PBP) number of the plan that submitted the claim.</t>
  </si>
  <si>
    <t>ExplanationOfBenefit.supportingInfo.where(category.coding.where(system='https://bluebutton.cms.gov/fhir/CodeSystem/Supporting-Information').exists() and category.coding.where(code='CLM_SBMTR_CNTRCT_PBP_NUM').exists()).value</t>
  </si>
  <si>
    <t>001</t>
  </si>
  <si>
    <t>CLM_SBMTR_CNTRCT_PBP_NUM</t>
  </si>
  <si>
    <t>['PLAN_PBP_REC_NUM']</t>
  </si>
  <si>
    <t>Contract PBP Name</t>
  </si>
  <si>
    <t>This field contains the name of the plan benefit package (PBP) for the beneficiary's Part D plan of record for the year.</t>
  </si>
  <si>
    <t>ExplanationOfBenefit.contained.where(id='insurer-org').name</t>
  </si>
  <si>
    <t>Super Saver Medicare Rx Saver Plus (PDP)</t>
  </si>
  <si>
    <t>V2_MDCR_CNTRCT_PBP_NUM</t>
  </si>
  <si>
    <t>CNTRCT_PBP_NAME</t>
  </si>
  <si>
    <t>Line Item Sequence Number</t>
  </si>
  <si>
    <t>A NUMBER IDENTIFYING THE POSITION OF THE SERVICE OR ITEM ON THE CLAIM. THIS IS A COMPONENT OF THE 5-PART KEY USED FOR JOINING CLAIMS.</t>
  </si>
  <si>
    <t>ExplanationOfBenefit.item.sequence</t>
  </si>
  <si>
    <t>V2_MDCR_CLM_LINE</t>
  </si>
  <si>
    <t>CLM_LINE_NUM</t>
  </si>
  <si>
    <t>Line Item From Date</t>
  </si>
  <si>
    <t>A DATE INDICATING THE FIRST DAY OF SERVICE FOR A LINE ITEM.</t>
  </si>
  <si>
    <t>ExplanationOfBenefit.item.serviced</t>
  </si>
  <si>
    <t>CLM_LINE_FROM_DT</t>
  </si>
  <si>
    <t>['CCLF7.CLM_LINE_FROM_DT']</t>
  </si>
  <si>
    <t>['SRVC_DT']</t>
  </si>
  <si>
    <t>National Drug Code</t>
  </si>
  <si>
    <t>THE NATIONAL DRUG CODE THAT IDENTIFIES SPECIFIC DRUGS.</t>
  </si>
  <si>
    <t>(ExplanationOfBenefit.item.productOrService.coding|ExplanationOfBenefit.item.detail.productOrService.coding).where(system = 'http://hl7.org/fhir/sid/ndc').code</t>
  </si>
  <si>
    <t>00071015523</t>
  </si>
  <si>
    <t>For deleted PDE claims, this will have a data absent reason.</t>
  </si>
  <si>
    <t>CLM_LINE_NDC_CD</t>
  </si>
  <si>
    <t>['CCLF7.CLM_LINE_NDC_CD']</t>
  </si>
  <si>
    <t>['PROD_SRVC_ID']</t>
  </si>
  <si>
    <t>Line Item NDC Quantity</t>
  </si>
  <si>
    <t>THE QUANTITY OF AN NDC APPLICABLE TO INSTITUTIONAL CLAIMS.</t>
  </si>
  <si>
    <t>(ExplanationOfBenefit.item.quantity|ExplanationOfBenefit.item.detail.quantity).value</t>
  </si>
  <si>
    <t>CLM_LINE_NDC_QTY</t>
  </si>
  <si>
    <t>['CCLF7.CLM_LINE_SRVC_UNIT_QTY']</t>
  </si>
  <si>
    <t>['QTY_DSPNSD_NUM']</t>
  </si>
  <si>
    <t>Line Item NDC Quantity Qualifier Code</t>
  </si>
  <si>
    <t>QUALIFIES THE TYPE OF QUANTITY APPLICABLE TO AN NDC PRESENT ON ALL INSTITUTIONAL CLAIM TYPES (INPATIENT/SNF, OUTPATIENT, HOME HEALTH AND HOSPICE.</t>
  </si>
  <si>
    <t>(ExplanationOfBenefit.item.quantity|ExplanationOfBenefit.item.detail.quantity).unit</t>
  </si>
  <si>
    <t>UN</t>
  </si>
  <si>
    <t>CLM_LINE_NDC_QTY_QLFYR_CD</t>
  </si>
  <si>
    <t>Claim Line Covered Paid Amount</t>
  </si>
  <si>
    <t>AN AMOUNT IDENTIFYING THE MEDICARE PAYMENT FOR A LINE ITEM SERVICE.</t>
  </si>
  <si>
    <t>ExplanationOfBenefit.item.adjudication.where(category.coding.where(system='http://terminology.hl7.org/CodeSystem/adjudication' and code='benefit').exists()).amount.value</t>
  </si>
  <si>
    <t>CLM_LINE_CVRD_PD_AMT</t>
  </si>
  <si>
    <t>['CVRD_D_PLAN_PD_AMT']</t>
  </si>
  <si>
    <t>Patient Responsibility Payment Amount</t>
  </si>
  <si>
    <t>AN AMOUNT IDENTIFYING THE PAYMENT MADE BY A BENEFICIARY FOR A DETAIL LINE OF SERVICE ON A CLAIM.  NOTE: FOR PART D, THIS AMOUNT COUNT TOWARDS A BENEFICIARYS TRUE-OUT-OF-POCKET (TROOP) COST.</t>
  </si>
  <si>
    <t>ExplanationOfBenefit.item.adjudication.where(category.coding.where(system='http://hl7.org/fhir/us/carin-bb/CodeSystem/C4BBAdjudication' and code='paidbypatient').exists() and category.coding.where(system='https://bluebutton.cms.gov/fhir/CodeSystem/Adjudication' and code='CLM_LINE_BENE_PMT_AMT').exists()).amount.value</t>
  </si>
  <si>
    <t>CLM_LINE_BENE_PMT_AMT</t>
  </si>
  <si>
    <t>['CCLF7.CLM_LINE_BENE_PMT_AMT']</t>
  </si>
  <si>
    <t>Gross Drug Cost Above Out Of Pocket Threshold</t>
  </si>
  <si>
    <t>The gross drug cost amount that was covered by Part D's catastrophic coverage.</t>
  </si>
  <si>
    <t>ExplanationOfBenefit.item.adjudication.where(category.coding.system='https://bluebutton.cms.gov/fhir/CodeSystem/Adjudication' and category.coding.code='CLM_LINE_GRS_ABOVE_THRSHLD_AMT').amount.value</t>
  </si>
  <si>
    <t>V2_MDCR_CLM_LINE_RX</t>
  </si>
  <si>
    <t>CLM_LINE_GRS_ABOVE_THRSHLD_AMT</t>
  </si>
  <si>
    <t>['GDC_ABV_OOPT_AMT']</t>
  </si>
  <si>
    <t>Gross Drug Cost Below Out Of Pocket Threshold</t>
  </si>
  <si>
    <t>The gross drug cost amount that was not covered by Part D's catastrophic coverage.</t>
  </si>
  <si>
    <t>ExplanationOfBenefit.item.adjudication.where(category.coding.system='https://bluebutton.cms.gov/fhir/CodeSystem/Adjudication' and category.coding.code='CLM_LINE_GRS_BLW_THRSHLD_AMT').amount.value</t>
  </si>
  <si>
    <t>CLM_LINE_GRS_BLW_THRSHLD_AMT</t>
  </si>
  <si>
    <t>['GDC_BLW_OOPT_AMT']</t>
  </si>
  <si>
    <t>Low Income Cost Sharing Subsidy Amount</t>
  </si>
  <si>
    <t>The Low Income Cost Sharing Subsidy amount for the line item.</t>
  </si>
  <si>
    <t>ExplanationOfBenefit.item.adjudication.where(category.coding.system='https://bluebutton.cms.gov/fhir/CodeSystem/Adjudication' and category.coding.code='CLM_LINE_LIS_AMT').amount.value</t>
  </si>
  <si>
    <t>CLM_LINE_LIS_AMT</t>
  </si>
  <si>
    <t>['LICS_AMT']</t>
  </si>
  <si>
    <t>Patient Liability Reduction Other Paid Amount</t>
  </si>
  <si>
    <t>The Patient Liability Reduction Other paid amount for the line item.</t>
  </si>
  <si>
    <t>ExplanationOfBenefit.item.adjudication.where(category.coding.system='https://bluebutton.cms.gov/fhir/CodeSystem/Adjudication' and category.coding.code='CLM_LINE_PLRO_AMT').amount.value</t>
  </si>
  <si>
    <t>CLM_LINE_PLRO_AMT</t>
  </si>
  <si>
    <t>['PLRO_AMT']</t>
  </si>
  <si>
    <t>Claim Line Reported Gap Discount Amount</t>
  </si>
  <si>
    <t>The reported amount that the sponsor advanced at point-of-sale for the gap discount for applicable drugs.</t>
  </si>
  <si>
    <t>ExplanationOfBenefit.item.adjudication.where(category.coding.system='https://bluebutton.cms.gov/fhir/CodeSystem/Adjudication' and category.coding.code='CLM_LINE_RPTD_GAP_DSCNT_AMT').amount.value</t>
  </si>
  <si>
    <t>CLM_LINE_RPTD_GAP_DSCNT_AMT</t>
  </si>
  <si>
    <t>['RPTD_GAP_DSCNT_NUM']</t>
  </si>
  <si>
    <t>Total drug cost (Part D)</t>
  </si>
  <si>
    <t>This variable is the total cost of the prescription drug event and is taken directly from the original PDE. It is the sum of the following components: the ingredient cost (INGRDNT_CST_PD_AMT), the dispensing fee (DSPNSNG_FEE_PD_AMT), the sales tax, if any (TOT_AMT_ATTR_SLS_TAX_AMT), and the vaccine administration fee, if any (VCCN_ADMIN_FEE_AMT, included starting in 2010).</t>
  </si>
  <si>
    <t>ExplanationOfBenefit.item.adjudication.where(category.coding.where(system='https://bluebutton.cms.gov/fhir/CodeSystem/Adjudication') and category.coding.where(code='TOT_RX_CST_AMT')).amount.value</t>
  </si>
  <si>
    <t>Derived using the sum of CLM_LINE_INGRDNT_CST_AMT, CLM_LINE_SRVC_CST_AMT, CLM_LINE_SLS_TAX_AMT, and CLM_LINE_VCCN_ADMIN_FEE_AMT. TOT_RX_CST_AMT is also set on the EOB's total with fhirPath ExplanationOfBenefit.total.where(category.coding.where(system='http://hl7.org/fhir/us/carin-bb/CodeSystem/C4BBAdjudication' and code='submitted').exists() and category.coding.where(system='https://bluebutton.cms.gov/fhir/CodeSystem/Adjudication' and code='TOT_RX_CST_AMT').exists()).amount.value</t>
  </si>
  <si>
    <t>['TOT_RX_CST_AMT']</t>
  </si>
  <si>
    <t>Pricing Exception Code</t>
  </si>
  <si>
    <t>The pricing exception code indicating network status.</t>
  </si>
  <si>
    <t>ExplanationOfBenefit.adjudication.where(category.coding.where(system='http://hl7.org/fhir/us/carin-bb/CodeSystem/C4BBAdjudicationDiscriminator' and code='benefitpaymentstatus').exists()).reason.coding.where(system='http://hl7.org/fhir/us/carin-bb/CodeSystem/C4BBPayerAdjudicationStatus').code</t>
  </si>
  <si>
    <t>outofnetwork</t>
  </si>
  <si>
    <t>CLM_PRCNG_EXCPTN_CD</t>
  </si>
  <si>
    <t>['PRCNG_EXCPTN_CD']</t>
  </si>
  <si>
    <t>Authorized Fill Number</t>
  </si>
  <si>
    <t>The number of refills authorized for the prescription.</t>
  </si>
  <si>
    <t>ExplanationOfBenefit.supportingInfo.where(category.coding.system='http://hl7.org/fhir/us/carin-bb/CodeSystem/C4BBSupportingInfoType' and category.coding.code='refillsauthorized').valueQuantity.value</t>
  </si>
  <si>
    <t>CLM_LINE_AUTHRZD_FILL_NUM</t>
  </si>
  <si>
    <t>['FILL_NUM']</t>
  </si>
  <si>
    <t>Pharmacy Service Type Code</t>
  </si>
  <si>
    <t>Code indicating the type of pharmacy service.</t>
  </si>
  <si>
    <t>ExplanationOfBenefit.supportingInfo.where(category.coding.where(system='https://bluebutton.cms.gov/fhir/CodeSystem/Supporting-Information' and code='CLM_PHRMCY_SRVC_TYPE_CD').exists()).code.coding.where(system='https://bluebutton.cms.gov/fhir/CodeSystem/CLM-PHRMCY-SRVC-TYPE-CD').code</t>
  </si>
  <si>
    <t>CLM_PHRMCY_SRVC_TYPE_CD</t>
  </si>
  <si>
    <t>https://bluebutton.cms.gov/fhir/CodeSystem/CLM-PHRMCY-SRVC-TYPE-CD</t>
  </si>
  <si>
    <t>['CCLF7.CLM_PHRMCY_SRVC_TYPE_CD']</t>
  </si>
  <si>
    <t>['PHRMCY_SRVC_TYPE_CD']</t>
  </si>
  <si>
    <t>RX Origin Code</t>
  </si>
  <si>
    <t>Code indicating the origin of the prescription.</t>
  </si>
  <si>
    <t>ExplanationOfBenefit.supportingInfo.where(category.coding.where(system='http://hl7.org/fhir/us/carin-bb/CodeSystem/C4BBSupportingInfoType' and code='rxorigincode').exists()).code.coding.where(system='http://terminology.hl7.org/CodeSystem/NCPDPPrescriptionOriginCode').code</t>
  </si>
  <si>
    <t>3</t>
  </si>
  <si>
    <t>CLM_LINE_RX_ORGN_CD</t>
  </si>
  <si>
    <t>https://bluebutton.cms.gov/fhir/CodeSystem/CLM-LINE-RX-ORGN-CD</t>
  </si>
  <si>
    <t>['RX_ORGN_CD']</t>
  </si>
  <si>
    <t>Brand/Generic Code</t>
  </si>
  <si>
    <t>Code indicating if a drug is brand or generic.</t>
  </si>
  <si>
    <t>ExplanationOfBenefit.supportingInfo.where(category.coding.where(system='http://hl7.org/fhir/us/carin-bb/CodeSystem/C4BBSupportingInfoType' and code='brandgenericindicator').exists()).code.coding.where(system='http://terminology.hl7.org/CodeSystem/NCPDPBrandGenericIndicator').code</t>
  </si>
  <si>
    <t>G</t>
  </si>
  <si>
    <t>CLM_BRND_GNRC_CD</t>
  </si>
  <si>
    <t>https://bluebutton.cms.gov/fhir/CodeSystem/CLM-BRND-GNRC-CD</t>
  </si>
  <si>
    <t>['BRND_GNRC_CD']</t>
  </si>
  <si>
    <t>Patient Residence Code</t>
  </si>
  <si>
    <t>Code indicating the patient's residence at the time of service.</t>
  </si>
  <si>
    <t>ExplanationOfBenefit.supportingInfo.code.coding.where(system='https://bluebutton.cms.gov/fhir/CodeSystem/CLM-PTNT-RSDNC-CD').code</t>
  </si>
  <si>
    <t>CLM_PTNT_RSDNC_CD</t>
  </si>
  <si>
    <t>https://bluebutton.cms.gov/fhir/CodeSystem/CLM-PTNT-RSDNC-CD</t>
  </si>
  <si>
    <t>['PTNT_RSDNC_CD']</t>
  </si>
  <si>
    <t>LTC Dispensing Method Code</t>
  </si>
  <si>
    <t>Long Term Care (LTC) dispensing method code.</t>
  </si>
  <si>
    <t>ExplanationOfBenefit.supportingInfo.code.coding.where(system='https://bluebutton.cms.gov/fhir/CodeSystem/CLM-LTC-DSPNSNG-MTHD-CD').code</t>
  </si>
  <si>
    <t>05</t>
  </si>
  <si>
    <t>CLM_LTC_DSPNSNG_MTHD_CD</t>
  </si>
  <si>
    <t>https://bluebutton.cms.gov/fhir/CodeSystem/CLM-LTC-DSPNSNG-MTHD-CD</t>
  </si>
  <si>
    <t>['SUBMSN_CLR_CD']</t>
  </si>
  <si>
    <t>Compound Code</t>
  </si>
  <si>
    <t>Code indicating if a drug is a compound.</t>
  </si>
  <si>
    <t>ExplanationOfBenefit.supportingInfo.where(category.coding.where(system='http://hl7.org/fhir/us/carin-bb/CodeSystem/C4BBSupportingInfoType' and code='compoundcode').exists()).code.coding.where(system='http://terminology.hl7.org/CodeSystem/NCPDPCompoundCode').code</t>
  </si>
  <si>
    <t>0</t>
  </si>
  <si>
    <t>CLM_CMPND_CD</t>
  </si>
  <si>
    <t>https://bluebutton.cms.gov/fhir/CodeSystem/CLM-CMPND-CD</t>
  </si>
  <si>
    <t>['CMPND_CD']</t>
  </si>
  <si>
    <t>Days Supply Quantity</t>
  </si>
  <si>
    <t>The number of days supply for the prescription.</t>
  </si>
  <si>
    <t>ExplanationOfBenefit.supportingInfo.where(category.coding.where(system='http://hl7.org/fhir/us/carin-bb/CodeSystem/C4BBSupportingInfoType' and code='dayssupply').exists()).valueQuantity.value</t>
  </si>
  <si>
    <t>CLM_LINE_DAYS_SUPLY_QTY</t>
  </si>
  <si>
    <t>['DAYS_SUPLY_NUM']</t>
  </si>
  <si>
    <t>RX Fill Number</t>
  </si>
  <si>
    <t>The fill number for the prescription.</t>
  </si>
  <si>
    <t>ExplanationOfBenefit.supportingInfo.where(category.coding.where(system='http://hl7.org/fhir/us/carin-bb/CodeSystem/C4BBSupportingInfoType' and code='refillnum').exists()).valueQuantity.value</t>
  </si>
  <si>
    <t>CLM_LINE_RX_FILL_NUM</t>
  </si>
  <si>
    <t>['CCLF7.CLM_LINE_RX_FILL_NUM']</t>
  </si>
  <si>
    <t>DAW Product Selection Code</t>
  </si>
  <si>
    <t>Dispense As Written (DAW) / Product Selection Code.</t>
  </si>
  <si>
    <t>ExplanationOfBenefit.supportingInfo.code.coding.where(system='http://terminology.hl7.org/CodeSystem/NCPDPDispensedAsWrittenOrProductSelectionCode').code</t>
  </si>
  <si>
    <t>CLM_DAW_PROD_SLCTN_CD</t>
  </si>
  <si>
    <t>['CCLF7.CLM_DAW_PROD_SLCTN_CD']</t>
  </si>
  <si>
    <t>['DAW_PROD_SLCTN_CD']</t>
  </si>
  <si>
    <t>Drug Coverage Status Code</t>
  </si>
  <si>
    <t>Code indicating the drug coverage status.</t>
  </si>
  <si>
    <t>ExplanationOfBenefit.supportingInfo.code.coding.where(system='https://bluebutton.cms.gov/fhir/CodeSystem/CLM-DRUG-CVRG-STUS-CD').code</t>
  </si>
  <si>
    <t>C</t>
  </si>
  <si>
    <t>CLM_DRUG_CVRG_STUS_CD</t>
  </si>
  <si>
    <t>https://bluebutton.cms.gov/fhir/CodeSystem/CLM-DRUG-CVRG-STUS-CD</t>
  </si>
  <si>
    <t>['DRUG_CVRG_STUS_CD']</t>
  </si>
  <si>
    <t>Catastrophic Coverage Indicator Code</t>
  </si>
  <si>
    <t>Code indicating if the claim is catastrophic coverage.</t>
  </si>
  <si>
    <t>ExplanationOfBenefit.supportingInfo.code.coding.where(system='https://bluebutton.cms.gov/fhir/CodeSystem/CLM-CTSTRPHC-CVRG-IND-CD').code</t>
  </si>
  <si>
    <t>CLM_CTSTRPHC_CVRG_IND_CD</t>
  </si>
  <si>
    <t>https://bluebutton.cms.gov/fhir/CodeSystem/CLM-CTSTRPHC-CVRG-IND-CD</t>
  </si>
  <si>
    <t>['CTSTRPHC_CVRG_CD']</t>
  </si>
  <si>
    <t>Claim Adjustment Type Code</t>
  </si>
  <si>
    <t>A CODE IDENTIFYING THE TYPE OF ADJUSTMENT RECORD REPRESENTED ON A CLAIM OR ENCOUNTER.    REFERENCE TABLE: CLM_ADJSTMT_TYPE_CD</t>
  </si>
  <si>
    <t>ExplanationOfBenefit.supportingInfo.where(category.coding.where(system='https://bluebutton.cms.gov/fhir/CodeSystem/Supporting-Information').exists() and category.coding.where(code='CLM_ADJSTMT_TYPE_CD').exists()).code.coding.code</t>
  </si>
  <si>
    <t>CLM_ADJSTMT_TYPE_CD</t>
  </si>
  <si>
    <t>https://bluebutton.cms.gov/fhir/CodeSystem/CLM-ADJSTMT-TYPE-CD</t>
  </si>
  <si>
    <t>['CCLF7.CLM_ADJSMT_TYPE_CD']</t>
  </si>
  <si>
    <t>['ADJSTMT_DLTN_CD']</t>
  </si>
  <si>
    <t>Dispensing Status Code</t>
  </si>
  <si>
    <t>Code indicating the dispensing status.</t>
  </si>
  <si>
    <t>ExplanationOfBenefit.supportingInfo.code.coding.where(system='https://bluebutton.cms.gov/fhir/CodeSystem/CLM-DSPNSNG-STUS-CD').code</t>
  </si>
  <si>
    <t>P</t>
  </si>
  <si>
    <t>CLM_DSPNSNG_STUS_CD</t>
  </si>
  <si>
    <t>https://bluebutton.cms.gov/fhir/CodeSystem/CLM-DSPNSNG-STUS-CD</t>
  </si>
  <si>
    <t>['CCLF7.CLM_DSPNSNG_STUS_CD']</t>
  </si>
  <si>
    <t>['DSPNSNG_STUS_CD']</t>
  </si>
  <si>
    <t>Claim IDR Load Date</t>
  </si>
  <si>
    <t>A DATE IDENTIFYING WHEN PART A AND PART B DATA ARE LOADED INTO THE INTEGRATED DATA REPOSITORY (IDR).</t>
  </si>
  <si>
    <t>ExplanationOfBenefit.supportingInfo.where(category.coding.where(system='https://bluebutton.cms.gov/fhir/CodeSystem/Supporting-Information').exists() and category.coding.where(code='CLM_IDR_LD_DT').exists()).timing</t>
  </si>
  <si>
    <t>2025-01-18</t>
  </si>
  <si>
    <t>CLM_IDR_LD_DT</t>
  </si>
  <si>
    <t>['CCLF7.CLM_IDR_LD_DT']</t>
  </si>
  <si>
    <t>RX Number</t>
  </si>
  <si>
    <t>THE PHARMACYS INTERNAL INVOICE NUMBER ON PHARMACEUTICAL CLAIMS.</t>
  </si>
  <si>
    <t>ExplanationOfBenefit.supportingInfo.where(category.coding.where(system='https://bluebutton.cms.gov/fhir/CodeSystem/Supporting-Information' and code='CLM_LINE_RX_NUM').exists()).value</t>
  </si>
  <si>
    <t>900001</t>
  </si>
  <si>
    <t>CLM_LINE_RX_NUM</t>
  </si>
  <si>
    <t>['CCLF7.CLM_LINE_RX_SRVC_RFRNC_NUM']</t>
  </si>
  <si>
    <t>['RX_SRVC_RFRNC_NUM']</t>
  </si>
  <si>
    <t>Noncovered Paid Amount</t>
  </si>
  <si>
    <t>THE NET AMOUNT PAID BY A PLAN FOR A NONCOVERED PRODUCT OR SERVICE, SUCH AS A NONCOVERED DRUG FOR PART D.</t>
  </si>
  <si>
    <t>ExplanationOfBenefit.item.adjudication.where(category.coding.where(system='https://bluebutton.cms.gov/fhir/CodeSystem/Adjudication') and category.coding.where(code='CLM_LINE_NCVRD_PD_AMT')).amount.value</t>
  </si>
  <si>
    <t>CLM_LINE_NCVRD_PD_AMT</t>
  </si>
  <si>
    <t>['NCVRD_PLAN_PD_AMT']</t>
  </si>
  <si>
    <t>CLAIMIP- THE TOTAL AMOUNT PAID BY ALL SOURCES OTHER THAN MEDICAID, MEDICARE, AND THE RECIPIENTS PERSONAL FUNDS.</t>
  </si>
  <si>
    <t>ExplanationOfBenefit.item.adjudication.where(category.coding.where(system='https://bluebutton.cms.gov/fhir/CodeSystem/Adjudication') and category.coding.where(code='CLM_LINE_OTHR_TP_PD_AMT')).amount.value</t>
  </si>
  <si>
    <t>CLM_LINE_OTHR_TP_PD_AMT</t>
  </si>
  <si>
    <t>['OTHR_TROOP_AMT']</t>
  </si>
  <si>
    <t>The claim unique ID is a unique ID for the claim within the source system.</t>
  </si>
  <si>
    <t>['Carrier', 'DME', 'HHA', 'Hospice', 'Inpatient', 'Outpatient', 'SNF']</t>
  </si>
  <si>
    <t>NON-UNIQUE-ID-HERE</t>
  </si>
  <si>
    <t>['FISS', 'MCS', 'NCH', 'VMS']</t>
  </si>
  <si>
    <t>['CCLF1.CUR_CLM_UNIQ_ID', 'CCLF2.CUR_CLM_UNIQ_ID', 'CCLF3.CUR_CLM_UNIQ_ID', 'CCLF4.CUR_CLM_UNIQ_ID', 'CCLF5.CUR_CLM_UNIQ_ID', 'CCLF6.CUR_CLM_UNIQ_ID', 'CCLFA.CUR_CLM_UNIQ_ID', 'CCLFB.CUR_CLM_UNIQ_ID']</t>
  </si>
  <si>
    <t>['CLM_ID']</t>
  </si>
  <si>
    <t>Final Action Indicator</t>
  </si>
  <si>
    <t>A VALUE INDICATING A FINAL ACTION CLAIM.  VALID VALUES:   Y = FINAL ACTION CLAIM, NOT VOIDED.  N = NOT FINAL ACTION CLAIM</t>
  </si>
  <si>
    <t>ExplanationOfBenefit.meta.tag.where(system='https://bluebutton.cms.gov/fhir/CodeSystem/Final-Action').code</t>
  </si>
  <si>
    <t>FinalAction</t>
  </si>
  <si>
    <t>CLM_FINL_ACTN_IND</t>
  </si>
  <si>
    <t>https://bluebutton.cms.gov/fhir/CodeSystem/Final-Action</t>
  </si>
  <si>
    <t>Claim Control Number</t>
  </si>
  <si>
    <t>AN IDENTIFIER ASSIGNED BY THE CLAIM PROCESSOR (I.E., MEDICARE ADMINISTRATIVE CONTRACTOR, PART D PLAN, OR ENCOUNTER DATA PROCESSING CONTRACTOR) TO A CLAIM.</t>
  </si>
  <si>
    <t>DOOPITY-DOOP-DOOP</t>
  </si>
  <si>
    <t>CLM_CNTL_NUM</t>
  </si>
  <si>
    <t>['CCLF1.CLM_CNTL_NUM', 'CCLF5.CLM_CNTL_NUM', 'CCLF6.CLM_CNTL_NUM']</t>
  </si>
  <si>
    <t>['CARR_CLM_CNTL_NUM', 'FI_DOC_CLM_CNTL_NUM']</t>
  </si>
  <si>
    <t>This field is the original identification value assigned.</t>
  </si>
  <si>
    <t>A NUMBER IDENTIFYING THE ORIGINAL CLAIM CONTROL NUMBER (CCN) ON AN ADJUSTED CLAIM.</t>
  </si>
  <si>
    <t>ExplanationOfBenefit.related.where(relationship.coding.system = 'http://terminology.hl7.org/CodeSystem/ex-relatedclaimrelationship').reference.where(system='https://bluebutton.cms.gov/identifiers/CLM-CNTL-NUM').value</t>
  </si>
  <si>
    <t>['CCLF1.CLM_ORG_CNTL_NUM']</t>
  </si>
  <si>
    <t>72</t>
  </si>
  <si>
    <t>['CCLF1.CLM_TYPE_CD', 'CCLF2.CLM_TYPE_CD', 'CCLF3.CLM_TYPE_CD', 'CCLF4.CLM_TYPE_CD', 'CCLF5.CLM_TYPE_CD', 'CCLF6.CLM_TYPE_CD', 'CCLFA.CLM_TYPE_CD', 'CCLFB.CLM_TYPE_CD']</t>
  </si>
  <si>
    <t>['NCH_CLM_TYPE_CD']</t>
  </si>
  <si>
    <t>A UNIQUE NUMBER ASSIGNED BY THE ENROLLMENT DATA BASE (EDB) TO EACH EDB RECORD TO IDENTIFY A BENEFICIARY.</t>
  </si>
  <si>
    <t>12345</t>
  </si>
  <si>
    <t>BENE_SK</t>
  </si>
  <si>
    <t>2025-01-03</t>
  </si>
  <si>
    <t>['CCLF1.CLM_FROM_DT', 'CCLF2.CLM_FROM_DT', 'CCLF3.CLM_FROM_DT', 'CCLF4.CLM_FROM_DT', 'CCLF5.CLM_FROM_DT', 'CCLF6.CLM_FROM_DT']</t>
  </si>
  <si>
    <t>['CLM_FROM_DT']</t>
  </si>
  <si>
    <t>2025-01-11</t>
  </si>
  <si>
    <t>['CCLF1.CLM_THRU_DT', 'CCLF2.CLM_THRU_DT', 'CCLF3.CLM_THRU_DT', 'CCLF4.CLM_THRU_DT', 'CCLF5.CLM_THRU_DT', 'CCLF6.CLM_THRU_DT']</t>
  </si>
  <si>
    <t>['CLM_THRU_DT']</t>
  </si>
  <si>
    <t>['CCLF1.CLM_EFCTV_DT', 'CCLF5.CLM_EFCTV_DT', 'CCLF6.CLM_EFCTV_DT']</t>
  </si>
  <si>
    <t>['CCLF1.CLM_IDR_LD_DT', 'CCLF5.CLM_IDR_LD_DT', 'CCLF6.CLM_IDR_LD_DT']</t>
  </si>
  <si>
    <t>A UNIQUE NUMERIC VALUE ASSIGNED BY THE INTEGRATED DATA REPOSITORY (IDR) USED TO IDENTIFY THE SPECIFIC SOURCE OF THE DATA WHEN A ROW IS LOADED INTO THE IDR.    REFERENCE TABLE: V2_MDCR_META_DCTNRY_SRC</t>
  </si>
  <si>
    <t>ExplanationOfBenefit.meta.tag.where(system='https://bluebutton.cms.gov/fhir/CodeSystem/System-Type').value</t>
  </si>
  <si>
    <t>https://bluebutton.cms.gov/fhir/CodeSystem/System-Type</t>
  </si>
  <si>
    <t>Source ID</t>
  </si>
  <si>
    <t>Identifies the source system of the ExplanationOfBenefit data.</t>
  </si>
  <si>
    <t>NCH</t>
  </si>
  <si>
    <t>META_SRC_SK</t>
  </si>
  <si>
    <t>Provider billing NPI number</t>
  </si>
  <si>
    <t>A NUMBER IDENTIFYING THE NATIONAL PROVIDER IDENTIFIER (NPI) OF THE BILLING PROVIDER ASSOCIATED WITH THE CLAIM, AS SOURCED FROM THE NATIONAL PLAN AND PROVIDER ENUMERATION SYSTEM (NPPES).     NOTE: THIS COLUMN IS POPULATED IF THE BILLING PROVIDER NPI ON THE CLAIM, AS PROVIDED BY THE SOURCE SYSTEM, CAN BE FOUND IN THE INTEGRATED DEPOSIT REPOSITORY (IDR) PROVIDER DATA AS SOURCED FROM NPPES.</t>
  </si>
  <si>
    <t>CLM_BLG_PRVDR_NPI_NUM is in CCLF, but not always present. PRVDR_BLG_PRVDR_NPI_NUM is always present on institutional claims.</t>
  </si>
  <si>
    <t>PRVDR_BLG_PRVDR_NPI_NUM</t>
  </si>
  <si>
    <t>['CCLF1.FAC_PRVDR_NPI_NUM', 'CCLF1.CLM_BLG_PRVDR_NPI_NUM', 'CCLF6.CLM_BLG_PRVDR_NPI_NUM', 'CCLF6.PAYTO_PRVDR_NPI_NUM']</t>
  </si>
  <si>
    <t>['ORG_NPI_NUM', 'PRVDR_NPI', 'CARR_CLM_BLG_NPI_NUM']</t>
  </si>
  <si>
    <t>Billing Provider Zip Code</t>
  </si>
  <si>
    <t>A FIVE-DIGIT ZIP CODE DEFINED BY THE UNITED STATES POSTAL SERVICE (USPS) THAT IDENTIFIES A DESTINATION POST OFFICE OR DELIVERY AREA ASSOCIATED WITH A BENEFICIARY, PROVIDER, OR CLAIM ADDRESS.    REFERENCE TABLE: GEO_ZIP5_CD</t>
  </si>
  <si>
    <t>['HHA', 'Hospice', 'Inpatient', 'Outpatient', 'SNF']</t>
  </si>
  <si>
    <t>ExplanationOfBenefit.contained.where(id = %root.provider.reference.substring(1)).address.postalCode</t>
  </si>
  <si>
    <t>77550</t>
  </si>
  <si>
    <t>CLM_BLG_PRVDR_ZIP5_CD</t>
  </si>
  <si>
    <t>['PRVDR_ZIP']</t>
  </si>
  <si>
    <t>Provider Tax Number</t>
  </si>
  <si>
    <t>['DME', 'Inpatient', 'Outpatient', 'SNF']</t>
  </si>
  <si>
    <t>ExplanationOfBenefit.contained.where(id = %root.provider.reference.substring(1)).identifier.where(system = 'urn:oid:2.16.840.1.113883.4.4').value</t>
  </si>
  <si>
    <t>CLM_BLG_PRVDR_TAX_NUM</t>
  </si>
  <si>
    <t>Claim Query Code</t>
  </si>
  <si>
    <t>INDICATION OF  THE TYPE OF CLAIM RECORD BEING PROCESSED WITH RESPECT TO PAYMENT (DEBIT/CREDIT INDICATOR - ORIGINAL, FULL, REPLACEMENT; INTERIM/FINAL INDICATOR). [HRMZ]        CODE INDICATING THE TYPE OF CLAIM RECORD BEING PROCESSED WITH RESPECT TO PAYMENT (DEBIT/CREDIT INDICATOR; INTERIM/FINAL INDICATOR). [NCH]</t>
  </si>
  <si>
    <t>ExplanationOfBenefit.supportingInfo.where(category.coding.where(system='https://bluebutton.cms.gov/fhir/CodeSystem/Supporting-Information').exists() and category.coding.where(code='CLM_QUERY_CD').exists()).code.coding.code</t>
  </si>
  <si>
    <t>CLM_QUERY_CD</t>
  </si>
  <si>
    <t>['FISS', 'NCH']</t>
  </si>
  <si>
    <t>https://bluebutton.cms.gov/fhir/CodeSystem/CLM-QUERY-CD</t>
  </si>
  <si>
    <t>['CCLF1.CLM_QUERY_CD']</t>
  </si>
  <si>
    <t>['CARR_CLM_ENTRY_CD', 'CLAIM_QUERY_CODE']</t>
  </si>
  <si>
    <t>['CMS', 'Basis', 'Regular']</t>
  </si>
  <si>
    <t>Noncovered Charge Amount</t>
  </si>
  <si>
    <t>AN AMOUNT IDENTIFYING THE PORTION OF A CHARGE NOT COVERED BY MEDICARE.</t>
  </si>
  <si>
    <t>['Inpatient', 'SNF']</t>
  </si>
  <si>
    <t>ExplanationOfBenefit.total.where(category.coding.where(system='http://hl7.org/fhir/us/carin-bb/CodeSystem/C4BBAdjudication' and code='noncovered').exists() and category.coding.where(system='https://bluebutton.cms.gov/fhir/CodeSystem/Adjudication' and code='CLM_NCVRD_CHRG_AMT').exists()).amount.value</t>
  </si>
  <si>
    <t>CLM_NCVRD_CHRG_AMT</t>
  </si>
  <si>
    <t>['CCLFA.CLM_NCVRD_CHRG_AMT']</t>
  </si>
  <si>
    <t>['NCH_IP_NCVRD_CHRG_AMT']</t>
  </si>
  <si>
    <t>Inpatient/Outpatient Total Deduction Amount</t>
  </si>
  <si>
    <t>AN AMOUNT IDENTIFYING THE PORTION APPLIED TOWARD THE DEDUCTIBLE A BENEFICIARY IS RESPONSIBLE FOR.</t>
  </si>
  <si>
    <t>['Carrier', 'DME', 'Inpatient', 'Outpatient', 'SNF']</t>
  </si>
  <si>
    <t>ExplanationOfBenefit.total.where(category.coding.where(system='http://terminology.hl7.org/CodeSystem/adjudication' and code='deductible').exists() and category.coding.where(system='https://bluebutton.cms.gov/fhir/CodeSystem/Adjudication' and code='CLM_MDCR_DDCTBL_AMT').exists()).amount.value</t>
  </si>
  <si>
    <t>CLM_MDCR_DDCTBL_AMT</t>
  </si>
  <si>
    <t>['CCLFA.CLM_MDCR_DDCTBL_AMT', 'CCLFB.CLM_MDCR_DDCTBL_AMT']</t>
  </si>
  <si>
    <t>['NCH_BENE_PTB_DDCTBL_AMT', 'NCH_IP_TOT_DDCTN_AMT', 'CARR_CLM_CASH_DDCTBL_APLD_AMT']</t>
  </si>
  <si>
    <t>Near Line Record Identification Code</t>
  </si>
  <si>
    <t>A CODE DEFINING THE TYPE OF CLAIM RECORD BEING PROCESSED.[NCH]</t>
  </si>
  <si>
    <t>ExplanationOfBenefit.supportingInfo.where(code.coding.system='https://bluebutton.cms.gov/fhir/CodeSystem/CLM-NRLN-RIC-CD').code.coding.code</t>
  </si>
  <si>
    <t>O</t>
  </si>
  <si>
    <t>V2_MDCR_CLM_DCMTN</t>
  </si>
  <si>
    <t>CLM_NRLN_RIC_CD</t>
  </si>
  <si>
    <t>['NCH']</t>
  </si>
  <si>
    <t>https://bluebutton.cms.gov/fhir/CodeSystem/CLM-NRLN-RIC-CD</t>
  </si>
  <si>
    <t>['NCH_NEAR_LINE_REC_IDENT_CD']</t>
  </si>
  <si>
    <t>Claim Outpatient Service Type Code</t>
  </si>
  <si>
    <t>CODE INDICATING TYPE AND PRIORITY OF OUTPATIENT  SERVICE. [NCH]</t>
  </si>
  <si>
    <t>['Outpatient']</t>
  </si>
  <si>
    <t>ExplanationOfBenefit.supportingInfo.where(code.coding.system='https://bluebutton.cms.gov/fhir/CodeSystem/CLM-OP-SRVC-TYPE-CD').code.coding.code</t>
  </si>
  <si>
    <t>V2_MDCR_CLM_INSTNL</t>
  </si>
  <si>
    <t>CLM_OP_SRVC_TYPE_CD</t>
  </si>
  <si>
    <t>https://bluebutton.cms.gov/fhir/CodeSystem/CLM-OP-SRVC-TYPE-CD</t>
  </si>
  <si>
    <t>['CCLF1.CLM_OP_SRVC_TYPE_CD']</t>
  </si>
  <si>
    <t>Operating Disproportionate Share Amount</t>
  </si>
  <si>
    <t>This is one component of the total amount that is payable on prospective payment system (PPS) claims and reflects the DSH (disproportionate share hospital) payments for operating expenses (such as labor) for the claim. NOTE: This field is a sum of the CLM_VAL.CLM_VAL_AMT amounts where CLM_VAL_CD is the disproportionate share code.</t>
  </si>
  <si>
    <t>['Inpatient']</t>
  </si>
  <si>
    <t>ExplanationOfBenefit.adjudication.where(category.coding.where(system='https://bluebutton.cms.gov/fhir/CodeSystem/Adjudication' and code='CLM_OPRTNL_DSPRTNT_AMT').exists()).amount.value</t>
  </si>
  <si>
    <t>['CCLF1.CLM_OPRTNL_DSPRPRTNT_AMT']</t>
  </si>
  <si>
    <t>['DSH_OP_CLM_VAL_AMT']</t>
  </si>
  <si>
    <t>Operating Indirect Medical Education Amount</t>
  </si>
  <si>
    <t>This is one component of the total amount that is payable on PPS claims, and reflects the IME (indirect medical education) payments for operating expenses (such as labor) for the claim.  NOTE: This field is a sum of the CLM_VAL.CLM_VAL_AMT amounts where CLM_VAL_CD is the IME share code.</t>
  </si>
  <si>
    <t>ExplanationOfBenefit.adjudication.where(category.coding.where(system='https://bluebutton.cms.gov/fhir/CodeSystem/Adjudication' and code='CLM_OPRTNL_IME_AMT').exists()).amount.value</t>
  </si>
  <si>
    <t>['CCLF1.CLM_OPRTNL_IME_AMT']</t>
  </si>
  <si>
    <t>['IME_OP_CLM_VAL_AMT']</t>
  </si>
  <si>
    <t>2025-01-01</t>
  </si>
  <si>
    <t>['FI_CLM_PROC_DT']</t>
  </si>
  <si>
    <t>Payment Amount</t>
  </si>
  <si>
    <t>AN AMOUNT IDENTIFYING HOW MUCH WAS PAID ON AN ADJUDICATED CLAIM.</t>
  </si>
  <si>
    <t>ExplanationOfBenefit.payment.amount.value</t>
  </si>
  <si>
    <t>CLM_PMT_AMT</t>
  </si>
  <si>
    <t>['FISS', 'MCS', 'NCH']</t>
  </si>
  <si>
    <t>['CCLF1.CLM_PMT_AMT']</t>
  </si>
  <si>
    <t>['CLM_PMT_AMT']</t>
  </si>
  <si>
    <t>Attending Physician NPI</t>
  </si>
  <si>
    <t>A NUMBER IDENTIFYING THE NATIONAL PROVIDER IDENTIFIER (NPI) OF AN ATTENDING PROVIDER AS SOURCED FROM THE NPI CROSSWALK REFERENCE INFORMATION PROVIDED BY THE NATIONAL PLAN AND PROVIDER ENUMERATION SYSTEM (NPPES).</t>
  </si>
  <si>
    <t>ExplanationOfBenefit.careTeam.where(role.coding.where(code = 'attending').exists()).provider.identifier.value</t>
  </si>
  <si>
    <t>PRVDR_ATNDG_PRVDR_NPI_NUM</t>
  </si>
  <si>
    <t>['CCLF1.ATNDG_PRVDR_NPI_NUM', 'CCLF1.CLM_ATNDG_PRVDR_NPI_NUM']</t>
  </si>
  <si>
    <t>['AT_PHYSN_NPI']</t>
  </si>
  <si>
    <t>Operating Physician NPI</t>
  </si>
  <si>
    <t>A NUMBER IDENTIFYING THE NATIONAL PROVIDER IDENTIFIER (NPI) OF AN OPERATING PROVIDER AS SOURCED FROM THE NPI CROSSWALK REFERENCE INFORMATION PROVIDED BY THE NATIONAL PLAN AND PROVIDER ENUMERATION SYSTEM (NPPES).</t>
  </si>
  <si>
    <t>ExplanationOfBenefit.careTeam.where(role.coding.where(code = 'otheroperating').exists()).provider.identifier.value</t>
  </si>
  <si>
    <t>PRVDR_OPRTG_PRVDR_NPI_NUM</t>
  </si>
  <si>
    <t>['CCLF1.OPRTG_PRVDR_NPI_NUM', 'CCLF1.CLM_OPRTG_PRVDR_NPI_NUM']</t>
  </si>
  <si>
    <t>['OP_PHYSN_NPI']</t>
  </si>
  <si>
    <t>Claim Diagnosis Code</t>
  </si>
  <si>
    <t>A CODE IDENTIFYING AN INTERNATIONAL CLASSIFICATION OF DISEASES, CLINICAL MODIFICATION (ICD_CM) DIAGNOSIS RELEVANT TO THE SERVICE BEING PROVIDED OR THE REASON FOR THE SERVICE.</t>
  </si>
  <si>
    <t>ExplanationOfBenefit.diagnosis.diagnosis.coding.code</t>
  </si>
  <si>
    <t>M48.062</t>
  </si>
  <si>
    <t>There are rare, rare, instances where these will be ICD-9 codes.</t>
  </si>
  <si>
    <t>V2_MDCR_CLM_PROD</t>
  </si>
  <si>
    <t>CLM_DGNS_CD</t>
  </si>
  <si>
    <t>['CCLF1.PRNCPL_DGNS_CD', 'CCLF1.ADMTG_DGNS_CD', 'CCLF4.CLM_DGNS_CD', 'CCLF5.CLM_DGNS_1_CD', 'CCLF5.CLM_DGNS_2_CD', 'CCLF5.CLM_DGNS_3_CD', 'CCLF5.CLM_DGNS_4_CD', 'CCLF5.CLM_DGNS_5_CD', 'CCLF5.CLM_DGNS_6_CD', 'CCLF5.CLM_DGNS_7_CD', 'CCLF5.CLM_DGNS_8_CD', 'CCLF5.CLM_DGNS_9_CD', 'CCLF5.CLM_DGNS_10_CD', 'CCLF5.CLM_DGNS_11_CD', 'CCLF5.CLM_DGNS_12_CD']</t>
  </si>
  <si>
    <t>['FST_DGNS_E_CD', 'RSN_VISIT_CD1', 'RSN_VISIT_CD2', 'RSN_VISIT_CD3', 'ICD_DGNS_CD1', 'ICD_DGNS_CD2', 'ICD_DGNS_CD3', 'ICD_DGNS_CD4', 'ICD_DGNS_CD5', 'ICD_DGNS_CD6', 'ICD_DGNS_CD7', 'ICD_DGNS_CD8', 'ICD_DGNS_CD9', 'ICD_DGNS_CD10', 'ICD_DGNS_CD11', 'ICD_DGNS_CD12', 'ICD_DGNS_CD13', 'ICD_DGNS_CD14', 'ICD_DGNS_CD15', 'ICD_DGNS_CD16', 'ICD_DGNS_CD17', 'ICD_DGNS_CD18', 'ICD_DGNS_CD19', 'ICD_DGNS_CD20', 'ICD_DGNS_CD21', 'ICD_DGNS_CD22', 'ICD_DGNS_CD23', 'ICD_DGNS_CD24', 'ICD_DGNS_CD25', 'ICD_DGNS_E_CD1', 'ICD_DGNS_E_CD2', 'ICD_DGNS_E_CD3', 'ICD_DGNS_E_CD4', 'ICD_DGNS_E_CD5', 'ICD_DGNS_E_CD6', 'ICD_DGNS_E_CD7', 'ICD_DGNS_E_CD8', 'ICD_DGNS_E_CD9', 'ICD_DGNS_E_CD10', 'ICD_DGNS_E_CD11', 'ICD_DGNS_E_CD12', 'PRNCPAL_DGNS_CD']</t>
  </si>
  <si>
    <t>Diagnosis Procedure ICD indicator</t>
  </si>
  <si>
    <t>THIS IS THE CLAIM PROD VERSION CODE WHICH IS SPACES OR 9 FOR ICD 9 AND 0 FOR ICD 10.</t>
  </si>
  <si>
    <t>ExplanationOfBenefit.diagnosis.diagnosis.coding.system</t>
  </si>
  <si>
    <t>http://hl7.org/fhir/sid/icd-10-cm</t>
  </si>
  <si>
    <t>CLM_DGNS_PRCDR_ICD_IND</t>
  </si>
  <si>
    <t>['CCLF1.DGNS_PRCDR_ICD_IND', 'CCLF2.DGNS_PRCDR_ICD_IND', 'CCLF4.DGNS_PRCDR_ICD_IND', 'CCLF5.DGNS_PRCDR_ICD_IND']</t>
  </si>
  <si>
    <t>['FST_DGNS_E_VRSN_CD', 'RSN_VISIT_VRSN_CD1', 'RSN_VISIT_VRSN_CD2', 'RSN_VISIT_VRSN_CD3', 'ADMTG_DGNS_VRSN_CD', 'ICD_DGNS_E_VRSN_CD1', 'ICD_DGNS_E_VRSN_CD2', 'ICD_DGNS_E_VRSN_CD3', 'ICD_DGNS_E_VRSN_CD4', 'ICD_DGNS_E_VRSN_CD5', 'ICD_DGNS_E_VRSN_CD6', 'ICD_DGNS_E_VRSN_CD7', 'ICD_DGNS_E_VRSN_CD8', 'ICD_DGNS_E_VRSN_CD9', 'ICD_DGNS_E_VRSN_CD10', 'ICD_DGNS_E_VRSN_CD11', 'ICD_DGNS_E_VRSN_CD12', 'ICD_DGNS_VRSN_CD1', 'ICD_DGNS_VRSN_CD2', 'ICD_DGNS_VRSN_CD3', 'ICD_DGNS_VRSN_CD4', 'ICD_DGNS_VRSN_CD5', 'ICD_DGNS_VRSN_CD6', 'ICD_DGNS_VRSN_CD7', 'ICD_DGNS_VRSN_CD8', 'ICD_DGNS_VRSN_CD9', 'ICD_DGNS_VRSN_CD10', 'ICD_DGNS_VRSN_CD11', 'ICD_DGNS_VRSN_CD12', 'ICD_DGNS_VRSN_CD13', 'ICD_DGNS_VRSN_CD14', 'ICD_DGNS_VRSN_CD15', 'ICD_DGNS_VRSN_CD16', 'ICD_DGNS_VRSN_CD17', 'ICD_DGNS_VRSN_CD18', 'ICD_DGNS_VRSN_CD19', 'ICD_DGNS_VRSN_CD20', 'ICD_DGNS_VRSN_CD21', 'ICD_DGNS_VRSN_CD22', 'ICD_DGNS_VRSN_CD23', 'ICD_DGNS_VRSN_CD24', 'ICD_DGNS_VRSN_CD25', 'PRNCPAL_DGNS_VRSN_CD', 'LINE_ICD_DGNS_VRSN_CD']</t>
  </si>
  <si>
    <t>Diagnosis Prod Type Code</t>
  </si>
  <si>
    <t>UNIQUELY IDENTIFIES A TYPE OF PROCEDURE OR A DIAGNOSIS CATEGORY.</t>
  </si>
  <si>
    <t>ExplanationOfBenefit.diagnosis.type.coding</t>
  </si>
  <si>
    <t>{'system': 'http://terminology.hl7.org/CodeSystem/ex-diagnosistype', 'code': 'principal'}</t>
  </si>
  <si>
    <t>CLM_PROD_TYPE_CD</t>
  </si>
  <si>
    <t>['CCLF4.CLM_PROD_TYPE_CD']</t>
  </si>
  <si>
    <t>Claim Present on Admission Indicator</t>
  </si>
  <si>
    <t>THE CODE USED TO INDICATE A CONDITION WAS PRESENT AT THE TIME THE BENEFICIARY WAS ADMITTED TO A GENERAL ACUTE CARE FACILITY.NOT APPLICABLE TO NON-DIAGNOSTIC PRODUCTS.</t>
  </si>
  <si>
    <t>ExplanationOfBenefit.diagnosis.onAdmission.coding</t>
  </si>
  <si>
    <t>{'system': 'https://www.cms.gov/Medicare/Medicare-Fee-for-Service-Payment/HospitalAcqCond/Coding', 'code': 'Y'}</t>
  </si>
  <si>
    <t>CLM_POA_IND</t>
  </si>
  <si>
    <t>['CCLF4.CLM_POA_IND']</t>
  </si>
  <si>
    <t>['CLM_E_POA_IND_SW1', 'CLM_E_POA_IND_SW2', 'CLM_E_POA_IND_SW3', 'CLM_E_POA_IND_SW4', 'CLM_E_POA_IND_SW5', 'CLM_E_POA_IND_SW6', 'CLM_E_POA_IND_SW7', 'CLM_E_POA_IND_SW8', 'CLM_E_POA_IND_SW9', 'CLM_E_POA_IND_SW10', 'CLM_E_POA_IND_SW11', 'CLM_E_POA_IND_SW12', 'CLM_POA_IND_SW1', 'CLM_POA_IND_SW2', 'CLM_POA_IND_SW3', 'CLM_POA_IND_SW4', 'CLM_POA_IND_SW5', 'CLM_POA_IND_SW6', 'CLM_POA_IND_SW7', 'CLM_POA_IND_SW8', 'CLM_POA_IND_SW9', 'CLM_POA_IND_SW10', 'CLM_POA_IND_SW11', 'CLM_POA_IND_SW12', 'CLM_POA_IND_SW13', 'CLM_POA_IND_SW14', 'CLM_POA_IND_SW15', 'CLM_POA_IND_SW16', 'CLM_POA_IND_SW17', 'CLM_POA_IND_SW18', 'CLM_POA_IND_SW19', 'CLM_POA_IND_SW20', 'CLM_POA_IND_SW21', 'CLM_POA_IND_SW22', 'CLM_POA_IND_SW23', 'CLM_POA_IND_SW24', 'CLM_POA_IND_SW25']</t>
  </si>
  <si>
    <t>Procedure Performed Date</t>
  </si>
  <si>
    <t>THE DATE ON WHICH THE PRINCIPAL OR OTHER PROCEDURE WAS PERFORMED. (NCH)</t>
  </si>
  <si>
    <t>['Hospice', 'Inpatient', 'Outpatient', 'SNF']</t>
  </si>
  <si>
    <t>ExplanationOfBenefit.procedure.date</t>
  </si>
  <si>
    <t>2024-01-01</t>
  </si>
  <si>
    <t>CLM_PRCDR_PRFRM_DT</t>
  </si>
  <si>
    <t>['CCLF3.CLM_PRCDR_PRFRM_DT']</t>
  </si>
  <si>
    <t>['PRCDR_DT1', 'PRCDR_DT2', 'PRCDR_DT3', 'PRCDR_DT4', 'PRCDR_DT5', 'PRCDR_DT6', 'PRCDR_DT7', 'PRCDR_DT8', 'PRCDR_DT9', 'PRCDR_DT10', 'PRCDR_DT11', 'PRCDR_DT12', 'PRCDR_DT13', 'PRCDR_DT14', 'PRCDR_DT15', 'PRCDR_DT16', 'PRCDR_DT17', 'PRCDR_DT18', 'PRCDR_DT19', 'PRCDR_DT20', 'PRCDR_DT21', 'PRCDR_DT22', 'PRCDR_DT23', 'PRCDR_DT24', 'PRCDR_DT25']</t>
  </si>
  <si>
    <t>Claim Procedure Code</t>
  </si>
  <si>
    <t>STORES PROCEDURE CODES</t>
  </si>
  <si>
    <t>ExplanationOfBenefit.procedure.procedure.coding.code</t>
  </si>
  <si>
    <t>0SG30AJ</t>
  </si>
  <si>
    <t>CLM_PRCDR_CD</t>
  </si>
  <si>
    <t>['CCLF3.CLM_PRCDR_CD']</t>
  </si>
  <si>
    <t>['ICD_PRCDR_CD1', 'ICD_PRCDR_CD2', 'ICD_PRCDR_CD3', 'ICD_PRCDR_CD4', 'ICD_PRCDR_CD5', 'ICD_PRCDR_CD6', 'ICD_PRCDR_CD7', 'ICD_PRCDR_CD8', 'ICD_PRCDR_CD9', 'ICD_PRCDR_CD10', 'ICD_PRCDR_CD11', 'ICD_PRCDR_CD12', 'ICD_PRCDR_CD13', 'ICD_PRCDR_CD14', 'ICD_PRCDR_CD15', 'ICD_PRCDR_CD16', 'ICD_PRCDR_CD17', 'ICD_PRCDR_CD18', 'ICD_PRCDR_CD19', 'ICD_PRCDR_CD20', 'ICD_PRCDR_CD21', 'ICD_PRCDR_CD22', 'ICD_PRCDR_CD23', 'ICD_PRCDR_CD24', 'ICD_PRCDR_CD25']</t>
  </si>
  <si>
    <t>ExplanationOfBenefit.procedure.procedure.coding.system</t>
  </si>
  <si>
    <t>http://www.cms.gov/Medicare/Coding/ICD10</t>
  </si>
  <si>
    <t>['CCLF3.DGNS_PRCDR_ICD_IND']</t>
  </si>
  <si>
    <t>['ICD_PRCDR_VRSN_CD1', 'ICD_PRCDR_VRSN_CD2', 'ICD_PRCDR_VRSN_CD3', 'ICD_PRCDR_VRSN_CD4', 'ICD_PRCDR_VRSN_CD5', 'ICD_PRCDR_VRSN_CD6', 'ICD_PRCDR_VRSN_CD7', 'ICD_PRCDR_VRSN_CD8', 'ICD_PRCDR_VRSN_CD9', 'ICD_PRCDR_VRSN_CD10', 'ICD_PRCDR_VRSN_CD11', 'ICD_PRCDR_VRSN_CD12', 'ICD_PRCDR_VRSN_CD13', 'ICD_PRCDR_VRSN_CD14', 'ICD_PRCDR_VRSN_CD15', 'ICD_PRCDR_VRSN_CD16', 'ICD_PRCDR_VRSN_CD17', 'ICD_PRCDR_VRSN_CD18', 'ICD_PRCDR_VRSN_CD19', 'ICD_PRCDR_VRSN_CD20', 'ICD_PRCDR_VRSN_CD21', 'ICD_PRCDR_VRSN_CD22', 'ICD_PRCDR_VRSN_CD23', 'ICD_PRCDR_VRSN_CD24', 'ICD_PRCDR_VRSN_CD25']</t>
  </si>
  <si>
    <t>Submitted Charge Amount</t>
  </si>
  <si>
    <t>THE AMOUNT OF SUBMITTED CHARGES FOR THE LINE ITEM SERVICE ON THE NONINSTITUTIONAL CLAIM. [NCH]</t>
  </si>
  <si>
    <t>ExplanationOfBenefit.item.adjudication.where(category.coding.where(system='https://bluebutton.cms.gov/fhir/CodeSystem/Adjudication') and category.coding.where(code='CLM_LINE_SBMT_CHRG_AMT')).amount.value</t>
  </si>
  <si>
    <t>CLM_LINE_SBMT_CHRG_AMT</t>
  </si>
  <si>
    <t>['LINE_SBMTD_CHRG_AMT', 'REV_CNTR_TOT_CHRG_AMT']</t>
  </si>
  <si>
    <t>Line Item Allowed Charge Amount</t>
  </si>
  <si>
    <t>THE MAXIMUM AMOUNT ALLOWED BY THE PLAN FOR PAYMENT. THE AMOUNT ELIGIBLE FOR PAYMENT AFTER APPLYING PRICING GUIDELINES/DISCOUNTS. USUALLY  INCLUDES COPAYMENT, COINSURANCE, DEDUCTIBLE, PENALTY, AND 3RD PARTY SAVINGS AMTS. FOR ENCTRS, MAY BE FFS EQUIVALENTS.</t>
  </si>
  <si>
    <t>['Carrier', 'DME']</t>
  </si>
  <si>
    <t>ExplanationOfBenefit.item.adjudication.where(category.coding.where(system='https://bluebutton.cms.gov/fhir/CodeSystem/Adjudication') and category.coding.where(code='CLM_LINE_ALOWD_CHRG_AMT')).amount.value</t>
  </si>
  <si>
    <t>Technically this variable is available in partially-adjudicated claims, but is consolidated (and represented) in CLM_ALOWD_CHRG_AMT in both adjudicated + partially-adjudicated claims. Financial fields on 1XXX claim type codes should be expected to change.</t>
  </si>
  <si>
    <t>CLM_LINE_ALOWD_CHRG_AMT</t>
  </si>
  <si>
    <t>['MCS', 'NCH', 'VMS']</t>
  </si>
  <si>
    <t>['CCLF5.CLM_LINE_ALOWD_CHRG_AMT', 'CCLF6.CLM_LINE_ALOWD_CHRG_AMT']</t>
  </si>
  <si>
    <t>['LINE_ALOWD_CHRG_AMT']</t>
  </si>
  <si>
    <t>['CCLF2.CLM_LINE_NUM', 'CCLF5.CLM_LINE_NUM', 'CCLF6.CLM_LINE_NUM', 'CCLFB.CLM_LINE_NUM']</t>
  </si>
  <si>
    <t>['CLM_LINE_NUM', 'LINE_NUM']</t>
  </si>
  <si>
    <t>Line Item HCPCS Code</t>
  </si>
  <si>
    <t>A CODE IDENTIFYING A HEALTHCARE COMMON PROCEDURE CODING SYSTEM (HCPCS) PROCEDURE, SUPPLY, PRODUCT, OR SERVICE PROVIDED TO A MEDICARE BENEFICIARY OR AN INDIVIDUAL ENROLLED IN PRIVATE HEALTH INSURANCE PROGRAMS.      REFERENCE TABLE: HCPCS_CD</t>
  </si>
  <si>
    <t>ExplanationOfBenefit.item.productOrService.where(coding.system='http://www.ama-assn.org/go/cpt' or coding.system='https://www.cms.gov/Medicare/Coding/HCPCSReleaseCodeSets' or coding.system='http://terminology.hl7.org/CodeSystem/data-absent-reason').coding.code</t>
  </si>
  <si>
    <t>99213</t>
  </si>
  <si>
    <t>CLM_LINE_HCPCS_CD</t>
  </si>
  <si>
    <t>['CCLF2.CLM_LINE_HCPCS_CD', 'CCLF5.CLM_LINE_HCPCS_CD', 'CCLF6.CLM_LINE_HCPCS_CD']</t>
  </si>
  <si>
    <t>['HCPCS_CD']</t>
  </si>
  <si>
    <t>Line Item APC / HIPPS Code</t>
  </si>
  <si>
    <t>THE AMBULATORY PAYMENT CLASSIFICATION (APC) CODE AND THE HIPPS CODE.  THE APC IS USED TO IDENTIFY GROUPINGS OF OUTPATIENT SERVICES. APC CODES ARE USED TO CALCULATE PAYMENT FOR SERVICES UNDER  OPPS.  THE APC IS A FOUR BYTE FIELD.  THE HIPPS CODES ARE USED</t>
  </si>
  <si>
    <t>ExplanationOfBenefit.item.productOrService.coding.where(system='https://www.cms.gov/Medicare/Medicare-Fee-for-Service-Payment/ProspMedicareFeeSvcPmtGen/HIPPSCodes').code</t>
  </si>
  <si>
    <t>NHNC1</t>
  </si>
  <si>
    <t>V2_MDCR_CLM_LINE_INSTNL</t>
  </si>
  <si>
    <t>CLM_REV_APC_HIPPS_CD</t>
  </si>
  <si>
    <t>['CCLF2.CLM_REV_APC_HIPPS_CD']</t>
  </si>
  <si>
    <t>['REV_CNTR_APC_HIPPS_CD']</t>
  </si>
  <si>
    <t>ExplanationOfBenefit.item.detail.productOrService.where(coding.system='http://hl7.org/fhir/sid/ndc').coding.code</t>
  </si>
  <si>
    <t>00409189001</t>
  </si>
  <si>
    <t>['LINE_NDC_CD', 'REV_CNTR_IDE_NDC_UPC_NUM']</t>
  </si>
  <si>
    <t>ExplanationOfBenefit.item.detail.where(productOrService.where(coding.system='http://hl7.org/fhir/sid/ndc')).quantity.value</t>
  </si>
  <si>
    <t>['REV_CNTR_NDC_QTY']</t>
  </si>
  <si>
    <t>ExplanationOfBenefit.item.detail.where(productOrService.where(coding.system='http://hl7.org/fhir/sid/ndc')).quantity.code</t>
  </si>
  <si>
    <t>g</t>
  </si>
  <si>
    <t>['REV_CNTR_NDC_QTY_QLFR_CD']</t>
  </si>
  <si>
    <t>Line Item Service Unit Quantity</t>
  </si>
  <si>
    <t>THE TOTAL UNITS BILLED FOR A CLAIM LINE.</t>
  </si>
  <si>
    <t>ExplanationOfBenefit.item.quantity.value</t>
  </si>
  <si>
    <t>For processing claims, this field is the unit quantity for a line item value. Eg for 54 minutes of anesthesia in a processing claim, this field will contain a value of 5.4, whereas in a claim from the National Claims History, the anesthesia units may appear in CLM_LINE_PRFNL_MTUS_CNT.</t>
  </si>
  <si>
    <t>CLM_LINE_SRVC_UNIT_QTY</t>
  </si>
  <si>
    <t>['CCLF2.CLM_LINE_SRVC_UNIT_QTY', 'CCLF5.CLM_LINE_SRVC_UNIT_QTY']</t>
  </si>
  <si>
    <t>['LINE_SRVC_CNT', 'REV_CNTR_UNIT_CNT']</t>
  </si>
  <si>
    <t>Line Item Revenue Center Code</t>
  </si>
  <si>
    <t>A UNIQUE IDENTIFIER OF A UNIFORM BILLING REVENUE TYPE,     THE PROVIDER-ASSIGNED REVENUE CODE FOR EACH COST CENTER FOR WHICH A SEPARATE CHARGE IS BILLED (TYPE OF ACCOMMODATION OR ANCILLARY). A COST CENTER IS A DIVISION OR UNIT WITHIN A HOSPITAL (E.G., RADIOLOGY, EMERGENCY ROOM, PATHOLOGY).  EXCEPTION: REVENUE CENTER CODE 0001 REPRESENTS THE TOTAL OF ALL REVENUE CENTERS INCLUDED ON THE CLAIM. (NCH)    EXAMPLE: 0123 = SEMI-PRIVATE 2 BED (MEDICAL OR GENERAL)-PEDIATRIC</t>
  </si>
  <si>
    <t>ExplanationOfBenefit.item.revenue.coding.where(system='https://bluebutton.cms.gov/fhir/CodeSystem/CLM-REV-CNTR-CD').code</t>
  </si>
  <si>
    <t>0636</t>
  </si>
  <si>
    <t>CLM_LINE_REV_CTR_CD</t>
  </si>
  <si>
    <t>https://bluebutton.cms.gov/fhir/CodeSystem/CLM-LINE-REV-CTR-CD</t>
  </si>
  <si>
    <t>['CCLF2.CLM_LINE_PROD_REV_CTR_CD']</t>
  </si>
  <si>
    <t>['REV_CNTR']</t>
  </si>
  <si>
    <t>CODE INDICATING WHETHER THE REVENUE CENTER CHARGES ARE SUBJECT TO DEDUCTIBLE AND/OR COINSURANCE. [NCH]</t>
  </si>
  <si>
    <t>ExplanationOfBenefit.item.revenue.coding.where(system='https://bluebutton.cms.gov/fhir/CodeSystem/CLM-DDCTBL-COINSRNC-CD').code</t>
  </si>
  <si>
    <t>M</t>
  </si>
  <si>
    <t>CLM_DDCTBL_COINSRNC_CD</t>
  </si>
  <si>
    <t>https://bluebutton.cms.gov/fhir/CodeSystem/CLM-DDCTBL-COINSRNC-CD</t>
  </si>
  <si>
    <t>['REV_CNTR_DDCTBL_COINSRNC_CD']</t>
  </si>
  <si>
    <t>HCPCS Modifier Code 1</t>
  </si>
  <si>
    <t>(1) A FIRST MODIFIER TO THE PROCEDURE CODE TO ENABLE A MORE SPECIFIC PROCEDURE IDENTIFICATION FOR THE CLAIM [NCH]    (2) A FIRST MODIFIER TO THE HCPCS PROCEDURE CODE TO ENABLE A MORE SPECIFIC PROCEDURE IDENTIFICATION FOR THE LINE ITEM SERVICE ON THE NONINSTITUTIONAL CLAIM. [NCH]</t>
  </si>
  <si>
    <t>ExplanationOfBenefit.item.modifier[0].coding.code</t>
  </si>
  <si>
    <t>A2</t>
  </si>
  <si>
    <t>HCPCS_1_MDFR_CD</t>
  </si>
  <si>
    <t>['CCLF2.HCPCS_1_MDFR_CD', 'CCLF5.HCPCS_1_MDFR_CD']</t>
  </si>
  <si>
    <t>['HCPCS_1ST_MDFR_CD']</t>
  </si>
  <si>
    <t>HCPCS Modifier Code 2</t>
  </si>
  <si>
    <t>(1) A SECOND MODIFIER TO THE PROCEDURE CODE TO MAKE IT MORE SPECIFIC THAN THE FIRST MODIFIER CODE TO IDENTIFY THE PROCEDURES PERFORMED ON THE BENEFICIARY FOR THE CLAIM [NCH]  (2) A SECOND MODIFIER TO THE HCPCS PROCEDURE CODE TO MAKE IT MORE SPECIFIC THAN THE FIRST MODIFIER CODE TO IDENTIFY THE LINE ITEM PROCEDURES FOR THIS CLAIM. [NCH]</t>
  </si>
  <si>
    <t>ExplanationOfBenefit.item.modifier[1].coding.code</t>
  </si>
  <si>
    <t>99</t>
  </si>
  <si>
    <t>HCPCS_2_MDFR_CD</t>
  </si>
  <si>
    <t>['CCLF2.HCPCS_2_MDFR_CD', 'CCLF5.HCPCS_2_MDFR_CD']</t>
  </si>
  <si>
    <t>['HCPCS_2ND_MDFR_CD']</t>
  </si>
  <si>
    <t>HCPCS Modifier Code 3</t>
  </si>
  <si>
    <t>(1) EFFECTIVE WITH NCH VERSION I, A THIRD MODIFIER TO THE PROCEDURE CODE TO MAKE  IT MORE SPECIFIC THAN THE SECOND MODIFIER CODE TO IDENTIFY THE PROCEDURES PERFORMED ON THE BENEFICIARY FOR THE CLAIM. [NCH]  (2) PRIOR TO NCH VERSION H THIS FIELD WAS NAMED: HCPCS_3RD_MDFR_CD. [NCH]</t>
  </si>
  <si>
    <t>ExplanationOfBenefit.item.modifier[2].coding.code</t>
  </si>
  <si>
    <t>HCPCS_3_MDFR_CD</t>
  </si>
  <si>
    <t>['CCLF2.HCPCS_3_MDFR_CD', 'CCLF5.HCPCS_3_MDFR_CD']</t>
  </si>
  <si>
    <t>['HCPCS_3RD_MDFR_CD']</t>
  </si>
  <si>
    <t>HCPCS Modifier Code 4</t>
  </si>
  <si>
    <t>(1) EFFECTIVE WITH VERSION I, A FOURTH MODIFIER TO THE PROCEDURE CODE TO MAKE IT MORE SPECIFIC THAN THE THIRD MODIFIER CODE TO IDENTIFY THE PROCEDURES PERFORMED ON THE BENEFICIARY FOR THE CLAIM. [NCH]  (2) PRIOR TO VERSION H THIS FIELD WAS NAMED: HCPCS_4TH_MDFR_CD. [NCH]</t>
  </si>
  <si>
    <t>ExplanationOfBenefit.item.modifier[3].coding.code</t>
  </si>
  <si>
    <t>HCPCS_4_MDFR_CD</t>
  </si>
  <si>
    <t>['CCLF2.HCPCS_4_MDFR_CD', 'CCLF5.HCPCS_4_MDFR_CD']</t>
  </si>
  <si>
    <t>['HCPCS_4TH_MDFR_CD']</t>
  </si>
  <si>
    <t>HCPCS Modifier Code 5</t>
  </si>
  <si>
    <t>EFFECTIVE WITH NCH VERSION I, A FIFTH MODIFIER TO THE PROCEDURE CODE TO MAKE IT MORE SPECIFIC THAN THE FOURTH MODIFIER CODE TO IDENTIFY THE PROCEDURES PERFORMED ON THE BENEFICIARY FOR THE CLAIM. [NCH]</t>
  </si>
  <si>
    <t>ExplanationOfBenefit.item.modifier[4].coding.code</t>
  </si>
  <si>
    <t>HCPCS_5_MDFR_CD</t>
  </si>
  <si>
    <t>['CCLF2.HCPCS_5_MDFR_CD', 'CCLF5.HCPCS_5_MDFR_CD']</t>
  </si>
  <si>
    <t>Claim Line Institutional Rate Amount</t>
  </si>
  <si>
    <t>CHARGES RELATING TO UNIT COST ASSOCIATED WITH THE REVENUE CENTER CODE.  EXCEPTION (ENCOUNTER DATA ONLY):  IF PLAN (E.G. MCO) DOES NOT KNOW THE ACTUAL RATE FOR THE ACCOMMODATIONS, $1 WILL BE REPORTED IN THE FIELD.  NOTE1:  FOR SNF PPS CLAIMS (WHEN REVENUE CENTER CODE EQUALS 0022), CMS HAS DEVELOPED A SNF PRICER TO COMPUTE THE RATE BASED ON THE PROVIDER SUPPLIED CODING FOR THE MDS RUGS III GROUP AND ASSESSMENT TYPE (HIPPS CODE, STORED IN REVENUE CENTER HCPCS CODE FIELD).  NOTE2:  FOR OP PPS CLAIMS, CMS HAS DEVELOPED A PRICER TO COMPUTE THE RATE BASED ON THE AMBULATORY PAYMENT CLASSIFICATION (APC), DISCOUNT FACTOR, UNITS OF SERVICE AND THE WAGE INDEX.  NOTE3:  UNDER HH PPS (WHEN REVENUE CENTER CODE EQUALS 0023), CMS HAS DEVELOPED A HHA PRICER TO COMPUTE THE RATE.  ON THE RAP, THE RATE IS DETERMINED USING THE CASE MIX WEIGHT ASSOCIATED WITH THE HIPPS CODE, ADJUSTING IT FOR THE WAGE INDEX FOR THE BENEFICIARYS SITE OF SERVICE, THEN MULTIPLYING THE RESULT BY 60% OR 50%, DEPENDING ON WHETHER OR NOT THE RAP IS FOR A FIRST EPISODE.  ON THE FINAL CLAIM, THE HIPPS CODE COULD CHANGE THE PAYMENT IF THE THERAPY THRESHOLD IS NOT MET, OR PARTIAL EPISODE PAYMENT (PEP) ADJUSTMENT OR A SIGNIFICANT CHANGE IN CONDITION (SCIC) ADJUSTMENT. IN CASES OF SCICS, THERE WILL BE MORE THAN ONE 0023 REVENUE CENTER LINE, EACH REPRESENTING THE PAYMENT MADE AT EACH CASE-MIX LEVEL.  NOTE4:  FOR IRF PPS CLAIMS (WHEN REVENUE CENTER CODE EQUALS 0024), CMS HAS DEVELOPED A PRICER TO COMPUTE THE RATE BASED ON THE HIPPS/CMG (HIPPS CODE, STORED IN REVENUE CENTER HCPCS CODE FIELD). [NCH]</t>
  </si>
  <si>
    <t>ExplanationOfBenefit.item.adjudication.where(category.coding.where(system='https://bluebutton.cms.gov/fhir/CodeSystem/Adjudication') and category.coding.where(code='CLM_LINE_INSTNL_RATE_AMT')).amount.value</t>
  </si>
  <si>
    <t>CLM_LINE_INSTNL_RATE_AMT</t>
  </si>
  <si>
    <t>['REV_CNTR_RATE_AMT']</t>
  </si>
  <si>
    <t>Claim Line Adjustment Reason Code 1</t>
  </si>
  <si>
    <t>AN AMERICAN NATIONAL STANDARDS INSTITUTE (ANSI) CLAIM ADJUSTMENT REASON CODE (CARC) IDENTIFYING THE REASON FOR AN ADJUSTMENT TO A CLAIM OR SERVICE LINE THAT RESULTED IN A DIFFERENCE BETWEEN THE ORIGINAL BILLED AMOUNT AND THE FINAL PAID AMOUNT. AN ADJUSTMENT CAN RESULT IN A DENIAL, REDUCTION, OR INCREASE  IN PAYMENT.  FOR EXAMPLE:  1 = DEDUCTIBLE AMOUNT  B1 = NON-COVERED VISITS</t>
  </si>
  <si>
    <t>ExplanationOfBenefit.item.adjudication.reason.coding.where(system='https://bluebutton.cms.gov/fhir/CodeSystem/ANSI-RSN-CD').code</t>
  </si>
  <si>
    <t>B7</t>
  </si>
  <si>
    <t>ANSI reason and group codes are unordered.</t>
  </si>
  <si>
    <t>V2_MDCR_CLM_ANSI_SGNTR</t>
  </si>
  <si>
    <t>CLM_1_REV_CNTR_ANSI_RSN_CD</t>
  </si>
  <si>
    <t>['CCLFA.CLM_1_REV_CNTR_ANSI_RSN_CD']</t>
  </si>
  <si>
    <t>['REV_CNTR_1ST_ANSI_CD']</t>
  </si>
  <si>
    <t>Claim Line Adjustment Group Code 1</t>
  </si>
  <si>
    <t>AN AMERICAN NATIONAL STANDARDS INSTITUTE (ANSI) GROUP CODE IDENTIFYING WHO HAS FINANCIAL RESPONSIBILITY FOR AN ADJUSTMENT TO A CLAIM OR SERVICE LINE  THAT RESULTED IN IT BEING PAID DIFFERENTLY THAN IT WAS BILLED. THIS GROUP CODE WORKS IN CONJUNCTION WITH A CLAIM ADJUSTMENT REASON CODE (CARC).  FOR EXAMPLE:  PR = PATIENT RESPONSIBILITY (PATIENT IS FINANCIALLY LIABLE)  CO = CONTRACTUAL OBLIGATIONS (PROVIDER IS FINANCIALLY LIABLE)</t>
  </si>
  <si>
    <t>ExplanationOfBenefit.item.adjudication.reason.coding.where(system='https://bluebutton.cms.gov/fhir/CodeSystem/ANSI-GRP-CD').code</t>
  </si>
  <si>
    <t>PR</t>
  </si>
  <si>
    <t>CLM_1_REV_CNTR_ANSI_GRP_CD</t>
  </si>
  <si>
    <t>['CCLFA.CLM_1_REV_CNTR_ANSI_GRP_CD']</t>
  </si>
  <si>
    <t>Claim Line Adjustment Reason Code 2</t>
  </si>
  <si>
    <t>CLM_2_REV_CNTR_ANSI_RSN_CD</t>
  </si>
  <si>
    <t>['REV_CNTR_2ND_ANSI_CD']</t>
  </si>
  <si>
    <t>Claim Line Adjustment Group Code 2</t>
  </si>
  <si>
    <t>CLM_2_REV_CNTR_ANSI_GRP_CD</t>
  </si>
  <si>
    <t>Claim Line Adjustment Reason Code 3</t>
  </si>
  <si>
    <t>CLM_3_REV_CNTR_ANSI_RSN_CD</t>
  </si>
  <si>
    <t>['REV_CNTR_3RD_ANSI_CD']</t>
  </si>
  <si>
    <t>Claim Line Adjustment Group Code 3</t>
  </si>
  <si>
    <t>CLM_3_REV_CNTR_ANSI_GRP_CD</t>
  </si>
  <si>
    <t>Claim Line Adjustment Reason Code 4</t>
  </si>
  <si>
    <t>CLM_4_REV_CNTR_ANSI_RSN_CD</t>
  </si>
  <si>
    <t>['REV_CNTR_4TH_ANSI_CD']</t>
  </si>
  <si>
    <t>Claim Line Adjustment Group Code 4</t>
  </si>
  <si>
    <t>CLM_4_REV_CNTR_ANSI_GRP_CD</t>
  </si>
  <si>
    <t>Non-Covered Charge Amount</t>
  </si>
  <si>
    <t>THE CHARGE AMOUNT RELATED TO A REVENUE CENTER CODE FOR SERVICES THAT ARE NOT COVERED BY MEDICARE.    NOTE:  PRIOR TO NCH VERSION H THE FIELD SIZE WAS S9(7)V99 AND THE ELEMENT WAS ONLY PRESENT ON THE INPATIENT/SNF FORMAT. AS OF NCH WEEKLY PROCESS DATE 10/3/97 THIS FIELD WAS ADDED TO ALL INSTITUTIONAL CLAIM TYPES. [NCH]</t>
  </si>
  <si>
    <t>ExplanationOfBenefit.item.adjudication.where(category.coding.where(system='https://bluebutton.cms.gov/fhir/CodeSystem/Adjudication') and category.coding.where(code='CLM_LINE_NCVRD_CHRG_AMT')).amount.value</t>
  </si>
  <si>
    <t>CLM_LINE_NCVRD_CHRG_AMT</t>
  </si>
  <si>
    <t>['REV_CNTR_NCVRD_CHRG_AMT']</t>
  </si>
  <si>
    <t>Provider Payment Amount</t>
  </si>
  <si>
    <t>(1) EFFECTIVE WITH NCH VERSION H, THE PAYMENT MADE TO THE PROVIDER FOR THE LINE ITEM SERVICE ON THE NONINSTITUTIONAL CLAIM.  NOTE:  BEGINNING WITH NCH WEEKLY PROCESS DATE 10/3/97 THIS FIELD WAS POPULATED WITH DATA. CLAIMS PROCESSED PRIOR TO 10/3/97 WILL CONTAIN ZEROES IN THIS FIELD.[NCH]  (2) EFFECTIVE WITH VERSION I, THE AMOUNT PAID TO THE PROVIDER FOR THE SERVICES REPORTED ON THE LINE ITEM.  NOTE1:  THIS FIELD IS POPULATED FOR THOSE CLAIMS THAT ARE REQUIRED TO PROCESS THROUGH OUTPATIENT PPS PRICER.  THE TYPE OF BILLS (TOB) REQUIRED TO PROCESS THROUGH ARE: 12X, 13X, 14X (EXCEPT MARYLAND PROVIDERS, INDIAN HEALTH PROVIDERS, HOSPITALS LOCATED IN AMERICAN SAMOA, GUAM AND SAIPAN AND CRITICAL ACCESS HOSPITALS (CAH)); 76X; 75X AND 34X IF CERTAIN HCPCS ARE ON THE BILL; AND ANY OUTPATIENT TYPE OF BILL WITH A CONDITION CODE 07 AND CERTAIN HCPCS.  THESE CLAIM TYPES COULD HAVE LINES THAT ARE NOT REQUIRED TO PRICE UNDER OPPS RULES SO THOSE LINES WOULD NOT HAVE DATA IN THIS FIELD.  ADDITIONAL EXCEPTION:  VIRGIN ISLAND HOSPITALS AND HOSPITALS THAT FURNISH ONLY INPATIENT PART B SERVICES WITH DATES OF SERVICE 1/1/02 AND FORWARD.   ANAMOLY: FOR DATES OF SERVICE AUGUST 1, 2000 TO THE PRESENT, THE OPPS REVENUE CENTER FIELDS ARE BEING PROCESSED DIFFERENTLY BY FISS AND APASS (STANDARD SYSTEMS). FOR MORE INFORMATION ON OPPS DATA PROBLEMS FOR THIS TIME PERIOD SEE LIMITATIONS APPENDIX.  THE FOLLOWING IS HOW EACH SYSTEM HANDLES THIS FIELD:  FISS:  POPULATED CORRECTLY WITH PROVIDER PAYMENT AMOUNT  APASS: PROVIDER PAYMENT AMOUNT PLUS INTEREST ON 1ST REVENUE CENTER LINE (CMM WILL INSTRUCT APASS NOT TO INCLUDE INTEREST)  CURRENTLY, THE FOLLOWING FI NUMBERS ARE UNDER THE APASS SYSTEM AND ALL OTHER FI NUMBERS ARE UNDER FISS.  SEE FI_NUM TABLE OF CODES FOR ALL FI NUMBERS.  52280 -- MUTUAL OF OMAHA (UNTIL 6/1/2003)  00430 -- WASHINGTON/ALASKA (UNTIL 11/1/2003)  00310 -- NORTH CAROLINA BC (UNTIL 12/1/2003)  00370 -- RHODE ISLAND (UNTIL 2/1/2004)  00270 -- NEW HAMPSHIRE/VERMONT (UNTIL 3/1/2004)  00181 -- MAINE/MASSACHUSETTS (UNTIL 5/1/2004)  NOTE2:  IT HAS BEEN DISCOVERED THAT THIS FIELD MAY BE POPULATED WITH DATA ON CLAIMS WITH DATES OF SERVICE PRIOR TO 7/00 (IMPLEMENTATION OF CLAIM LINE EXPANSION OPPS/HHPPS).  THE ORIGINAL UNDERSTANDING OF THE NEW REVENUE CENTER FIELDS WAS THAT DATA WOULD BE POPULATED ON CLAIMS WITH DATES OF SERVICE 7/00 AND FORWARD.  DATA HAS BEEN FOUND IN CLAIMS WITH DATES OF SERVICE PRIOR TO 7/00 BECAUSE THE STANDARD SYSTEMS HAVE PROCESSED ANY CLAIM COMING IN 7/00 AND AFTER, MEETING THE ABOVE CRITERIA, THROUGH THE OUTPATIENT CODE EDITOR (OCE) REGARDLESS OF THE DATES OF SERVICE. [NCH]</t>
  </si>
  <si>
    <t>ExplanationOfBenefit.item.adjudication.where(category.coding.where(system='https://bluebutton.cms.gov/fhir/CodeSystem/Adjudication') and category.coding.where(code='CLM_LINE_PRVDR_PMT_AMT')).amount.value</t>
  </si>
  <si>
    <t>CLM_LINE_PRVDR_PMT_AMT</t>
  </si>
  <si>
    <t>['LINE_PRVDR_PMT_AMT', 'REV_CNTR_PRVDR_PMT_AMT']</t>
  </si>
  <si>
    <t>ExplanationOfBenefit.item.adjudication.where(category.coding.where(system='https://bluebutton.cms.gov/fhir/CodeSystem/Adjudication') and category.coding.where(code='CLM_LINE_BENE_PMT_AMT')).amount.value</t>
  </si>
  <si>
    <t>['REV_CNTR_PTNT_RSPNSBLTY_PMT']</t>
  </si>
  <si>
    <t>Beneficiary Paid Amount</t>
  </si>
  <si>
    <t>AN AMOUNT IDENTIFYING THE PAYMENT MADE TO A BENEFICIARY FOR A DETAIL LINE OF SERVICE.</t>
  </si>
  <si>
    <t>ExplanationOfBenefit.item.adjudication.where(category.coding.where(system='https://bluebutton.cms.gov/fhir/CodeSystem/Adjudication') and category.coding.where(code='CLM_LINE_BENE_PD_AMT')).amount.value</t>
  </si>
  <si>
    <t>CLM_LINE_BENE_PD_AMT</t>
  </si>
  <si>
    <t>['LINE_BENE_PMT_AMT', 'REV_CNTR_BENE_PMT_AMT']</t>
  </si>
  <si>
    <t>ExplanationOfBenefit.item.adjudication.where(category.coding.where(system='https://bluebutton.cms.gov/fhir/CodeSystem/Adjudication') and category.coding.where(code='CLM_LINE_CVRD_PD_AMT')).amount.value</t>
  </si>
  <si>
    <t>['CCLF2.CLM_LINE_CVRD_PD_AMT', 'CCLF5.CLM_LINE_CVRD_PD_AMT', 'CCLF6.CLM_LINE_CVRD_PD_AMT']</t>
  </si>
  <si>
    <t>['LINE_NCH_PMT_AMT', 'REV_CNTR_PMT_AMT_AMT']</t>
  </si>
  <si>
    <t>Claim Line Blood Deductible Amount</t>
  </si>
  <si>
    <t>AN AMOUNT IDENTIFYING THE BLOOD DEDUCTIBLE A BENEFICIARY IS RESPONSIBLE FOR ON A DETAIL LINE OF SERVICE.</t>
  </si>
  <si>
    <t>ExplanationOfBenefit.item.adjudication.where(category.coding.where(system='https://bluebutton.cms.gov/fhir/CodeSystem/Adjudication') and category.coding.where(code='CLM_LINE_BLOOD_DDCTBL_AMT')).amount.value</t>
  </si>
  <si>
    <t>CLM_LINE_BLOOD_DDCTBL_AMT</t>
  </si>
  <si>
    <t>['REV_CNTR_BLOOD_DDCTBL_AMT']</t>
  </si>
  <si>
    <t>Part B Deductible Amount</t>
  </si>
  <si>
    <t>(1) EFFECTIVE WITH NCH VERSION I THE AMOUNT OF CASH DEDUCTIBLE THE BENEFICIARY PAID FOR THE LINE ITEM SERVICE.  NOTE1:  THIS FIELD IS POPULATED FOR THOSE CLAIMS THAT ARE REQUIRED TO PROCESS THROUGH OUTPATIENT PPS PRICER.  THE TYPE OF BILLS (TOB) REQUIRED TO PROCESS THROUGH ARE: 12X, 13X, 14X (EXCEPT MARYLAND PROVIDERS, INDIAN HEALTH PROVIDERS, HOSPITALS LOCATED IN AMERICAN SAMOA, GUAM AND SAIPAN AND CRITICAL ACCESS HOSPITALS (CAH)); 76X; 75X AND 34X IF CERTAIN HCPCS ARE ON THE BILL; AND ANY OUTPATIENT TYPE OF BILL WITH A CONDITION CODE 07 AND CERTAIN HCPCS.  THESE CLAIM TYPES COULD HAVE LINES THAT ARE NOT REQUIRED TO PRICE UNDER OPPS RULES SO THOSE LINES WOULD NOT HAVE DATA IN THIS FIELD.  ADDITIONAL EXCEPTION:  VIRGIN ISLAND HOSPITALS AND HOSPITALS THAT FURNISH ONLY INPATIENT PART B SERVICES WITH DATES OF SERVICE 1/1/02 AND FORWARD.  NOTE2:  IT HAS BEEN DISCOVERED THAT THIS FIELD MAY BE POPULATED WITH DATA ON CLAIMS WITH DATES OF SERVICE PRIOR TO 7/00 (IMPLEMENTATION OF CLAIM LINE EXPANSION OPPS/HHPPS).  THE ORIGINAL UNDERSTANDING OF THE NEW REVENUE CENTER FIELDS WAS THAT DATA WOULD BE POPULATED ON CLAIMS WITH DATES OF SERVICE 7/00 AND FORWARD.  DATA HAS BEEN FOUND IN CLAIMS WITH DATES OF SERVICE PRIOR TO 7/00 BECAUSE THE STANDARD SYSTEMS HAVE PROCESSED ANY CLAIM COMING IN 7/00 AND AFTER, MEETING THE ABOVE CRITERIA, THROUGH THE OUTPATIENT CODE EDITOR (OCE) REGARDLESS OF THE DATES OF SERVICE. [NCH]  (2) THE AMOUNT OF MONEY FOR WHICH THE CARRIER HAS DETERMINED THAT THE BENEFICIARY IS LIABLE FOR THE PART B CASH DEDUCTIBLE FOR THE LINE ITEM SERVICE ON THE NONINSTITUTIONAL CLAIM. [NCH]</t>
  </si>
  <si>
    <t>ExplanationOfBenefit.item.adjudication.where(category.coding.where(system='https://bluebutton.cms.gov/fhir/CodeSystem/Adjudication') and category.coding.where(code='CLM_LINE_MDCR_DDCTBL_AMT')).amount.value</t>
  </si>
  <si>
    <t>CLM_LINE_MDCR_DDCTBL_AMT</t>
  </si>
  <si>
    <t>['CCLFB.CLM_LINE_MDCR_DDCTBL_AMT']</t>
  </si>
  <si>
    <t>['REV_CNTR_CASH_DDCTBL_AMT', 'LINE_BENE_PTB_DDCTBL_AMT']</t>
  </si>
  <si>
    <t>Revenue Center Coinsurance/Wage Adjusted Coinsurance Amount</t>
  </si>
  <si>
    <t>EFFECTIVE WITH NCH VERSION I, THE AMOUNT OF COINSURANCE APPLICABLE TO THE LINE ITEM SERVICE DEFINED BY THE REVENUE CENTER AND HCPCS CODES.  FOR THOSE SERVICES SUBJECT TO OUTPATIENT PPS, THE APPLICABLE COINSURANCE IS WAGE ADJUSTED.  NOTE1:  THIS FIELD IS POPULATED FOR THOSE CLAIMS THAT ARE REQUIRED TO PROCESS THROUGH OUTPATIENT PPS PRICER.  THE TYPE OF BILLS (TOB) REQUIRED TO PROCESS THROUGH ARE: 12X, 13X, 14X (EXCEPT MARYLAND PROVIDERS, INDIAN HEALTH PROVIDERS AND CRITICAL ACCESS HOSPITALS (CAH)); 76X; 75X AND 34X IF CERTAIN HCPCS ARE ON THE BILL; AND ANY OUTPATIENT TYPE OF BILL WITH A CONDITION CODE 07 AND CERTAIN HCPCS.  THE ABOVE CLAIM TYPES COULD HAVE LINES THAT ARE NOT REQUIRED TO PRICE UNDER OPPS RULES SO THOSE LINES WOULD NOT HAVE DATA IN THIS FIELD.  NOTE2:  THIS FIELD WILL HAVE EITHER A ZERO (FOR SERVICES FOR WHICH COINSURANCE IS NOT APPLICABLE), A REGULAR COINSURANCE AMOUNT (CALCULATED ON EITHER CHARGES OR A FEE SCHEDULE) OR IF SUBJECT TO OP PPS THE NATIONAL COINSURANCE AMOUNT WILL BE WAGE ADJUSTED. THE WAGE ADJUSTED COINSURANCE IS BASED ON THE MSA WHERE THE PROVIDER IS LOCATED OR ASSIGNED AS A RESULT OF A RECLASSIFICATION.  NOTE3:  IT HAS BEEN DISCOVERED THAT THIS FIELD MAY BE POPULATED WITH DATA ON CLAIMS WITH DATES OF SERVICE PRIOR TO 7/00 (IMPLEMENTATION OF CLAIM LINE EXPANSION OPPS/HHPPS).  THE ORIGINAL UNDERSTANDING OF THE NEW REVENUE CENTER FIELDS WAS THAT DATA WOULD BE POPULATED ON CLAIMS WITH DATES OF SERVICE 7/00 AND FORWARD.  DATA HAS BEEN FOUND IN CLAIMS WITH DATES OF SERVICE PRIOR TO 7/00 BECAUSE THE STANDARD SYSTEMS HAVE PROCESSED ANY CLAIM COMING IN 7/00 AND AFTER, MEETING THE ABOVE CRITERIA, THROUGH THE OUTPATIENT CODE EDITOR (OCE) REGARDLESS OF THE DATES OF SERVICE [NCH]</t>
  </si>
  <si>
    <t>ExplanationOfBenefit.item.adjudication.where(category.coding.where(system='https://bluebutton.cms.gov/fhir/CodeSystem/Adjudication') and category.coding.where(code='CLM_LINE_INSTNL_ADJSTD_AMT')).amount.value</t>
  </si>
  <si>
    <t>CLM_LINE_INSTNL_ADJSTD_AMT</t>
  </si>
  <si>
    <t>['REV_CNTR_COINSRNC_WGE_ADJSTD_C']</t>
  </si>
  <si>
    <t>Revenue Center Reduced Coinsurance Amount</t>
  </si>
  <si>
    <t>EFFECTIVE WITH NCH VERSION I, FOR ALL SERVICES SUBJECT TO OUTPATIENT PPS, THE AMOUNT OF COINSURANCE APPLICABLE TO THE LINE FOR A PARTICULAR SERVICE (HCPCS) FOR WHICH THE PROVIDER HAS ELECTED TO REDUCE THE COINSURANCE AMOUNT.  NOTE1:  THIS FIELD IS POPULATED FOR THOSE CLAIMS THAT ARE REQUIRED TO PROCESS THROUGH OUTPATIENT PPS PRICER.  THE TYPE OF BILLS (TOB) REQUIRED TO PROCESS THROUGH ARE: 12X, 13X, 14X (EXCEPT MARYLAND PROVIDERS, INDIAN HEALTH PROVIDERS, HOSPITALS LOCATED IN AMERICAN SAMOA, GUAM AND SAIPAN AND CRITICAL ACCESS HOSPITALS (CAH)); 76X; 75X AND 34X IF CERTAIN HCPCS ARE ON THE BILL; AND ANY OUTPATIENT TYPE OF BILL WITH A CONDITION CODE 07 AND CERTAIN HCPCS.  THESE CLAIM TYPES COULD HAVE LINES THAT ARE NOT REQUIRED TO PRICE UNDER OPPS RULES SO THOSE LINES WOULD NOT HAVE DATA IN THIS FIELD.  ADDITIONAL EXCEPTION:  VIRGIN ISLAND HOSPITALS AND HOSPITALS THAT FURNISH ONLY INPATIENT PART B SERVICES WITH DATES OF SERVICE 1/1/02 AND FORWARD.  NOTE2:  THE REDUCED COINSURANCE AMOUNT CANNOT BE LOWER THAN 20% OF THE PAYMENT RATE FOR THE APC LINE.  NOTE3:  IT HAS BEEN DISCOVERED THAT THIS FIELD MAY BE POPULATED WITH DATA ON CLAIMS WITH DATES OF SERVICE PRIOR TO 7/00 (IMPLEMENTATION OF CLAIM LINE EXPANSION OPPS/HHPPS).  THE ORIGINAL UNDERSTANDING OF THE NEW REVENUE CENTER FIELDS WAS THAT DATA WOULD BE POPULATED ON CLAIMS WITH DATES OF SERVICE 7/00 AND FORWARD.  DATA HAS BEEN FOUND IN CLAIMS WITH DATES OF SERVICE PRIOR TO 7/00 BECAUSE THE STANDARD SYSTEMS HAVE PROCESSED ANY CLAIM COMING IN 7/00 AND AFTER, MEETING THE ABOVE CRITERIA, THROUGH THE OUTPATIENT CODE EDITOR (OCE) REGARDLESS OF THE DATES OF SERVICE. [NCH]</t>
  </si>
  <si>
    <t>ExplanationOfBenefit.item.adjudication.where(category.coding.where(system='https://bluebutton.cms.gov/fhir/CodeSystem/Adjudication') and category.coding.where(code='CLM_LINE_INSTNL_RDCD_AMT')).amount.value</t>
  </si>
  <si>
    <t>CLM_LINE_INSTNL_RDCD_AMT</t>
  </si>
  <si>
    <t>['REV_CNTR_RDCD_COINSRNC_AMT']</t>
  </si>
  <si>
    <t>Revenue Center 1st Medicare Secondary Payer Paid Amount</t>
  </si>
  <si>
    <t>EFFECTIVE WITH NCH VERSION I, THE AMOUNT PAID BY THE PRIMARY PAYER WHEN THE PAYER IS PRIMARY TO MEDICARE (MEDICARE IS SECONDARY).  NOTE1:  THIS FIELD IS POPULATED FOR THOSE CLAIMS THAT ARE REQUIRED TO PROCESS THROUGH OUTPATIENT PPS PRICER.  THE TYPE OF BILLS (TOB) REQUIRED TO PROCESS THROUGH ARE: 12X, 13X, 14X (EXCEPT MARYLAND PROVIDERS, INDIAN HEALTH PROVIDERS, HOSPITALS LOCATED IN AMERICAN SAMOA, GUAM AND SAIPAN AND CRITICAL ACCESS HOSPITALS (CAH)); 76X; 75X AND 34X IF CERTAIN HCPCS ARE ON THE BILL; AND ANY OUTPATIENT TYPE OF BILL WITH A CONDITION CODE 07 AND CERTAIN HCPCS.  THESE CLAIM TYPES COULD HAVE LINES THAT ARE NOT REQUIRED TO PRICE UNDER OPPS RULES SO THOSE LINES WOULD NOT HAVE DATA IN THIS FIELD.  ADDITIONAL EXCEPTION:  VIRGIN ISLAND HOSPITALS AND HOSPITALS THAT FURNISH ONLY INPATIENT PART B SERVICES WITH DATES OF SERVICE 1/1/02 AND FORWARD.  NOTE2:  IT HAS BEEN DISCOVERED THAT THIS FIELD MAY BE POPULATED WITH DATA ON CLAIMS WITH DATES OF SERVICE PRIOR TO 7/00 (IMPLEMENTATION OF CLAIM LINE EXPANSION OPPS/HHPPS).  THE ORIGINAL UNDERSTANDING OF THE NEW REVENUE CENTER FIELDS WAS THAT DATA WOULD BE POPULATED ON CLAIMS WITH DATES OF SERVICE 7/00 AND FORWARD.  DATA HAS BEEN FOUND IN CLAIMS WITH DATES OF SERVICE PRIOR TO 7/00 BECAUSE THE STANDARD SYSTEMS HAVE PROCESSED ANY CLAIM COMING IN 7/00 AND AFTER, MEETING THE ABOVE CRITERIA, THROUGH THE OUTPATIENT CODE EDITOR (OCE) REGARDLESS OF THE DATES OF SERVICE. [NCH]</t>
  </si>
  <si>
    <t>ExplanationOfBenefit.item.adjudication.where(category.coding.where(system='https://bluebutton.cms.gov/fhir/CodeSystem/Adjudication') and category.coding.where(code='CLM_LINE_INSTNL_MSP1_PD_AMT')).amount.value</t>
  </si>
  <si>
    <t>CLM_LINE_INSTNL_MSP1_PD_AMT</t>
  </si>
  <si>
    <t>['REV_CNTR_1ST_MSP_PD_AMT']</t>
  </si>
  <si>
    <t>Revenue Center 2nd Medicare Secondary Payer Paid Amount</t>
  </si>
  <si>
    <t>EFFECTIVE WITH NCH VERSION I, THE AMOUNT PAID BY THE SECONDARY PAYER WHEN TWO PAYERS ARE PRIMARY TO MEDICARE (MEDICARE IS THE TERTIARY PAYER).  NOTE1:  THIS FIELD IS POPULATED FOR THOSE CLAIMS THAT ARE REQUIRED TO PROCESS THROUGH OUTPATIENT PPS PRICER.  THE TYPE OF BILLS (TOB) REQUIRED TO PROCESS THROUGH ARE: 12X, 13X, 14X (EXCEPT MARYLAND PROVIDERS, INDIAN HEALTH PROVIDERS, HOSPITALS LOCATED IN AMERICAN SAMOA, GUAM AND SAIPAN AND CRITICAL ACCESS HOSPITALS (CAH)); 76X; 75X AND 34X IF CERTAIN HCPCS ARE ON THE BILL; AND ANY OUTPATIENT TYPE OF BILL WITH A CONDITION CODE 07 AND CERTAIN HCPCS.  THESE CLAIM TYPES COULD HAVE LINES THAT ARE NOT REQUIRED TO PRICE UNDER OPPS RULES SO THOSE LINES WOULD NOT HAVE DATA IN THIS FIELD.  ADDITIONAL EXCEPTION:  VIRGIN ISLAND HOSPITALS AND HOSPITALS THAT FURNISH ONLY INPATIENT PART B SERVICES WITH DATES OF SERVICE 1/1/02 AND FORWARD.  NOTE2:  IT HAS BEEN DISCOVERED THAT THIS FIELD MAY BE POPULATED WITH DATA ON CLAIMS WITH DATES OF SERVICE PRIOR TO 7/00 (IMPLEMENTATION OF CLAIM LINE EXPANSION OPPS/HHPPS).  THE ORIGINAL UNDERSTANDING OF THE NEW REVENUE CENTER FIELDS WAS THAT DATA WOULD BE POPULATED ON CLAIMS WITH DATES OF SERVICE 7/00 AND FORWARD.  DATA HAS BEEN FOUND IN CLAIMS WITH DATES OF SERVICE PRIOR TO 7/00 BECAUSE THE STANDARD SYSTEMS HAVE PROCESSED ANY CLAIM COMING IN 7/00 AND AFTER, MEETING THE ABOVE CRITERIA, THROUGH THE OUTPATIENT CODE EDITOR (OCE) REGARDLESS OF THE DATES OF SERVICE. [NCH]</t>
  </si>
  <si>
    <t>ExplanationOfBenefit.item.adjudication.where(category.coding.where(system='https://bluebutton.cms.gov/fhir/CodeSystem/Adjudication') and category.coding.where(code='CLM_LINE_INSTNL_MSP2_PD_AMT')).amount.value</t>
  </si>
  <si>
    <t>CLM_LINE_INSTNL_MSP2_PD_AMT</t>
  </si>
  <si>
    <t>['REV_CNTR_2ND_MSP_PD_AMT']</t>
  </si>
  <si>
    <t>Revenue Center Date</t>
  </si>
  <si>
    <t>REVENUE CENTER DATE FOR THE INSTITUTIONAL LINE ITEM.</t>
  </si>
  <si>
    <t>ExplanationOfBenefit.item.servicedDate</t>
  </si>
  <si>
    <t>CLM_LINE_INSTNL_REV_CTR_DT</t>
  </si>
  <si>
    <t>['CCLF2.CLM_LINE_INSTNL_REV_CTR_DT']</t>
  </si>
  <si>
    <t>['REV_CNTR_DT']</t>
  </si>
  <si>
    <t>Claim Active Care From Date</t>
  </si>
  <si>
    <t>THE DATE THE BENEFICIARYS FROM-DATE OF ACTIVE CARE BEGINS.</t>
  </si>
  <si>
    <t>['HHA', 'Hospice', 'Inpatient', 'SNF']</t>
  </si>
  <si>
    <t>ExplanationOfBenefit.supportingInfo.where(category.coding.system='http://hl7.org/fhir/us/carin-bb/CodeSystem/C4BBSupportingInfoType' and category.coding.code='admissionperiod').timing.start</t>
  </si>
  <si>
    <t>2021-01-01</t>
  </si>
  <si>
    <t>This element (forming admissionperiod) is not available for some HHA claims due to a CMS data limitation.</t>
  </si>
  <si>
    <t>CLM_ACTV_CARE_FROM_DT</t>
  </si>
  <si>
    <t>['CCLFA.CLM_ACTV_CARE_FROM_DT']</t>
  </si>
  <si>
    <t>['CLM_HOSPC_START_DT_ID', 'CLM_ADMSN_DT']</t>
  </si>
  <si>
    <t>Beneficiary Discharge Date</t>
  </si>
  <si>
    <t>THE DATE THE BENEFICIARY WAS DISCHARGED FROM THE FACILITY (HOSPITAL, SKILLED NURSING FACILITY, HOME HEALTH AGENCY, OR HOSPICE). [NCH]</t>
  </si>
  <si>
    <t>ExplanationOfBenefit.supportingInfo.where(category.coding.system='http://hl7.org/fhir/us/carin-bb/CodeSystem/C4BBSupportingInfoType' and category.coding.code='admissionperiod').timing.end</t>
  </si>
  <si>
    <t>2021-01-02</t>
  </si>
  <si>
    <t>CLM_DSCHRG_DT</t>
  </si>
  <si>
    <t>['NCH_BENE_DSCHRG_DT']</t>
  </si>
  <si>
    <t>Claim Admission Type Code</t>
  </si>
  <si>
    <t>THE CODE INDICATING THE TYPE AND PRIORITY OF AN INPATIENT ADMISSION ASSOCIATED WITH THE SERVICE ON AN INTERMEDIARY SUBMITTED CLAIM. [NCH]</t>
  </si>
  <si>
    <t>ExplanationOfBenefit.supportingInfo.where(category.coding.system='http://hl7.org/fhir/us/carin-bb/CodeSystem/C4BBSupportingInfoType' and category.coding.code='admtype').code.coding.where(system='https://bluebutton.cms.gov/fhir/CodeSystem/CLM-ADMSN-TYPE-CD').code</t>
  </si>
  <si>
    <t>CLM_ADMSN_TYPE_CD</t>
  </si>
  <si>
    <t>https://bluebutton.cms.gov/fhir/CodeSystem/CLM-ADMSN-TYPE-CD</t>
  </si>
  <si>
    <t>['CCLF1.CLM_ADMSN_TYPE_CD']</t>
  </si>
  <si>
    <t>['CLM_IP_ADMSN_TYPE_CD']</t>
  </si>
  <si>
    <t>Claim Submission Date</t>
  </si>
  <si>
    <t>(1) THE DATE THE FISCAL INTERMEDIARY RECEIVED THE INSTITUTIONAL CLAIM FROM THE PROVIDER.[NCH]  (2) THE DATE THE CARRIER RECEIVES THE NON-INSTITUTIONAL CLAIM.[NCH]</t>
  </si>
  <si>
    <t>ExplanationOfBenefit.supportingInfo.where(category.coding.system='http://hl7.org/fhir/us/carin-bb/CodeSystem/C4BBSupportingInfoType' and category.coding.code='clmrecvddate').timing</t>
  </si>
  <si>
    <t>2020-01-13</t>
  </si>
  <si>
    <t>CLM_SUBMSN_DT</t>
  </si>
  <si>
    <t>Patient Discharge Status Code</t>
  </si>
  <si>
    <t>THE CODE USED TO IDENTIFY THE STATUS OF THE PATIENT AS OF THE CLAIM THROUGH DATE [NCH]</t>
  </si>
  <si>
    <t>ExplanationOfBenefit.supportingInfo.where(category.coding.system='http://hl7.org/fhir/us/carin-bb/CodeSystem/C4BBSupportingInfoType' and category.coding.code='discharge-status').code.coding.where(system='https://bluebutton.cms.gov/fhir/CodeSystem/BENE-PTNT-STUS-CD').code</t>
  </si>
  <si>
    <t>06</t>
  </si>
  <si>
    <t>The two CCW variables here represent the same concept, but only one code system is enumerated here.</t>
  </si>
  <si>
    <t>BENE_PTNT_STUS_CD</t>
  </si>
  <si>
    <t>https://bluebutton.cms.gov/fhir/CodeSystem/BENE-PTNT-STUS-CD</t>
  </si>
  <si>
    <t>['CCLF1.BENE_PTNT_STUS_CD']</t>
  </si>
  <si>
    <t>['NCH_PTNT_STATUS_IND_CD', 'PTNT_DSCHRG_STUS_CD']</t>
  </si>
  <si>
    <t>Claim Diagnosis Related Group Code</t>
  </si>
  <si>
    <t>ON AN INSTITUTIONAL CLAIM, THE CODE THAT IDENTIFIES THE DIAGNOSIS RELATED GROUP TO WHICH A BENEFICIARY STAY IS CLASSIFIED FOR PAYMENT PURPOSES. [NCH]</t>
  </si>
  <si>
    <t>ExplanationOfBenefit.supportingInfo.where(category.coding.system='http://hl7.org/fhir/us/carin-bb/CodeSystem/C4BBSupportingInfoType' and category.coding.code='drg').code.coding.where(system='https://www.cms.gov/Medicare/Medicare-Fee-for-Service-Payment/AcuteInpatientPPS/MS-DRG-Classifications-and-Software').code</t>
  </si>
  <si>
    <t>460</t>
  </si>
  <si>
    <t>DGNS_DRG_CD</t>
  </si>
  <si>
    <t>['CCLF1.DGNS_DRG_CD']</t>
  </si>
  <si>
    <t>['CLM_DRG_CD']</t>
  </si>
  <si>
    <t>Blood Pints Furnished Quantity</t>
  </si>
  <si>
    <t>A QUANTITY INDICATING THE  WHOLE PINTS OF BLOODS FURNISHED TO A BENEFICIARY.</t>
  </si>
  <si>
    <t>['Carrier', 'Inpatient', 'Outpatient', 'SNF']</t>
  </si>
  <si>
    <t>ExplanationOfBenefit.supportingInfo.where(category.coding.where(system='https://bluebutton.cms.gov/fhir/CodeSystem/Supporting-Information').exists() and category.coding.where(code='CLM_BLOOD_PT_FRNSH_QTY').exists()).value.value</t>
  </si>
  <si>
    <t>CLM_BLOOD_PT_FRNSH_QTY</t>
  </si>
  <si>
    <t>['NCH_BLOOD_PNTS_FRNSHD_QTY']</t>
  </si>
  <si>
    <t>MCO Paid Switch</t>
  </si>
  <si>
    <t>A SWITCH INDICATING WHETHER OR NOT A MANAGED CARE ORGANIZATION (MCO) HAS PAID THE PROVIDER FOR AN INSTITUTIONAL CLAIM. [NCH]</t>
  </si>
  <si>
    <t>ExplanationOfBenefit.supportingInfo.where(category.coding.where(system='https://bluebutton.cms.gov/fhir/CodeSystem/Supporting-Information').exists() and category.coding.where(code='CLM_MDCR_INSTNL_MCO_PD_SW').exists()).code.coding.code</t>
  </si>
  <si>
    <t>CLM_MDCR_INSTNL_MCO_PD_SW</t>
  </si>
  <si>
    <t>https://bluebutton.cms.gov/fhir/CodeSystem/CLM-MDCR-INSTNL-MCO-PD-SW</t>
  </si>
  <si>
    <t>['CLM_MCO_PD_SW']</t>
  </si>
  <si>
    <t>Source Admission Code</t>
  </si>
  <si>
    <t>THE CODE INDICATING THE MEANS BY WHICH THE BENEFICIARY WAS ADMITTED TO THE INPATIENT HEALTH CARE FACILITY OR SNF IF THE TYPE OF ADMISSION IS (1) EMERGENCY, (2) URGENT, OR (3) ELECTIVE. [NCH]</t>
  </si>
  <si>
    <t>ExplanationOfBenefit.supportingInfo.where(category.coding.system='http://hl7.org/fhir/us/carin-bb/CodeSystem/C4BBSupportingInfoType' and category.coding.code='pointoforigin').code.coding.where(system='https://bluebutton.cms.gov/fhir/CodeSystem/CLM-ADMSN-SRC-CD').code</t>
  </si>
  <si>
    <t>2</t>
  </si>
  <si>
    <t>CLM_ADMSN_SRC_CD</t>
  </si>
  <si>
    <t>https://bluebutton.cms.gov/fhir/CodeSystem/CLM-ADMSN-SRC-CD</t>
  </si>
  <si>
    <t>['CCLF1.CLM_ADMSN_SRC_CD']</t>
  </si>
  <si>
    <t>['CLM_SRC_IP_ADMSN_CD']</t>
  </si>
  <si>
    <t>Type of Bill Code</t>
  </si>
  <si>
    <t>The Type of Bill Code. Composed of a 0, followed by the Claim Facility Type Code, then the Claim Service Classification Type Code, and finally the Claim Frequency Code.</t>
  </si>
  <si>
    <t>ExplanationOfBenefit.supportingInfo.where(category.coding.system='http://hl7.org/fhir/us/carin-bb/CodeSystem/C4BBSupportingInfoType' and category.coding.code='typeofbill').code.coding.where(system='https://www.nubc.org/CodeSystem/TypeOfBill').code</t>
  </si>
  <si>
    <t>0123</t>
  </si>
  <si>
    <t>This field is derived from 0 + CLM_BILL_FAC_TYPE_CD + CLM_BILL_CLSFCTN_CD + CLM_BILL_FREQ_CD because the codes are dependent upon one another, and require concatenation to be meaningful in a machine-readable format.</t>
  </si>
  <si>
    <t>Bill Facility Type Code</t>
  </si>
  <si>
    <t>A CODE IDENTIFYING THE TYPE OF FACILITY THAT PROVIDED CARE TO A BENEFICIARY ON AN INSTITUTIONAL CLAIM. IT IS THE FIRST DIGIT OF THE TYPE OF BILL (TOB).    REFERENCE TABLE: CLM_BILL_FAC_TYPE_CD</t>
  </si>
  <si>
    <t>ExplanationOfBenefit.supportingInfo.where(category.coding.system='http://hl7.org/fhir/us/carin-bb/CodeSystem/C4BBSupportingInfoType' and category.coding.code='typeofbill').code.coding.where(system='https://bluebutton.cms.gov/fhir/CodeSystem/CLM-BILL-FAC-TYPE-CD').code</t>
  </si>
  <si>
    <t>CLM_BILL_FAC_TYPE_CD</t>
  </si>
  <si>
    <t>https://bluebutton.cms.gov/fhir/CodeSystem/CLM-BILL-FAC-TYPE-CD</t>
  </si>
  <si>
    <t>['CCLF1.CLM_BILL_FAC_TYPE_CD']</t>
  </si>
  <si>
    <t>['CLM_FAC_TYPE_CD']</t>
  </si>
  <si>
    <t>Claim Bill Classification Code</t>
  </si>
  <si>
    <t>A CODE CLASSIFYING THE TYPE OF SERVICE PROVIDED TO A BENEFICIARY ON AN INSTITUTIONAL CLAIM. IT IS THE SECOND DIGIT OF THE TYPE OF BILL (TOB).</t>
  </si>
  <si>
    <t>ExplanationOfBenefit.supportingInfo.where(category.coding.system='http://hl7.org/fhir/us/carin-bb/CodeSystem/C4BBSupportingInfoType' and category.coding.code='typeofbill').code.coding.where(system='https://bluebutton.cms.gov/fhir/CodeSystem/CLM-BILL-CLSFCTN-CD').code</t>
  </si>
  <si>
    <t>12</t>
  </si>
  <si>
    <t>Concatenated with the preceding digit, since meaning is dependent upon the previous column.</t>
  </si>
  <si>
    <t>CLM_BILL_CLSFCTN_CD</t>
  </si>
  <si>
    <t>https://bluebutton.cms.gov/fhir/CodeSystem/CLM-BILL-CLSFCTN-CD</t>
  </si>
  <si>
    <t>['CCLF1.CLM_BILL_CLSFCTN_CD']</t>
  </si>
  <si>
    <t>['CLM_SRVC_CLSFCTN_TYPE_CD']</t>
  </si>
  <si>
    <t>Bill Frequency Code</t>
  </si>
  <si>
    <t>A CODE INDICATING THE SEQUENCE OF AN INSTITUTIONAL CLAIM IN THE BENEFICIARYS CURRENT EPISODE OF CARE. IT IS THE THIRD DIGIT OF THE TYPE OF BILL (TOB).</t>
  </si>
  <si>
    <t>ExplanationOfBenefit.supportingInfo.where(category.coding.system='http://hl7.org/fhir/us/carin-bb/CodeSystem/C4BBSupportingInfoType' and category.coding.code='typeofbill').code.coding.where(system='https://bluebutton.cms.gov/fhir/CodeSystem/CLM-BILL-FREQ-CD').code</t>
  </si>
  <si>
    <t>123</t>
  </si>
  <si>
    <t>Concatenated with the preceding two digits, since meaning is dependent upon those columns.</t>
  </si>
  <si>
    <t>CLM_BILL_FREQ_CD</t>
  </si>
  <si>
    <t>https://bluebutton.cms.gov/fhir/CodeSystem/CLM-BILL-FREQ-CD</t>
  </si>
  <si>
    <t>['CCLF1.CLM_BILL_FREQ_CD']</t>
  </si>
  <si>
    <t>['CLM_FREQ_CD']</t>
  </si>
  <si>
    <t>Weekly Process Date</t>
  </si>
  <si>
    <t>THE DATE THE WEEKLY NCH DATABASE LOAD PROCESS CYCLE BEGINS, DURING WHICH THE CLAIM RECORDS ARE LOADED INTO THE NEARLINE FILE.  THIS DATE WILL ALWAYS BE A FRIDAY, ALTHOUGH THE CLAIMS WILL ACTUALLY BE APPENDED TO THE DATABASE SUBSEQUENT TO THE DATE. (NCH)</t>
  </si>
  <si>
    <t>ExplanationOfBenefit.supportingInfo.where(category.coding.where(system='https://bluebutton.cms.gov/fhir/CodeSystem/Supporting-Information').exists() and category.coding.where(code='CLM_NCH_WKLY_PROC_DT').exists()).timing</t>
  </si>
  <si>
    <t>CLM_NCH_WKLY_PROC_DT</t>
  </si>
  <si>
    <t>['NCH_WKLY_PROC_DT']</t>
  </si>
  <si>
    <t>Noncovered Stay From Date</t>
  </si>
  <si>
    <t>EFFECTIVE WITH NCH VERSION H, THE BEGINNING DATE OF THE BENEFICIARYS NONCOVERED STAY (USED FOR INTERNAL CWFMQA EDITING PURPOSES.)  NOTE:  DURING THE VERSION H CONVERSION THIS FIELD WAS POPULATED WITH DATA THROUGHOUT HISTORY (BACK TO SERVICE YEAR 1991) [NCH]</t>
  </si>
  <si>
    <t>ExplanationOfBenefit.supportingInfo.where(category.coding.where(system='https://bluebutton.cms.gov/fhir/CodeSystem/Supporting-Information').exists() and category.coding.where(code='CLM_NCVRD_FROM_DT').exists()).timing</t>
  </si>
  <si>
    <t>CLM_NCVRD_FROM_DT</t>
  </si>
  <si>
    <t>['NCH_VRFD_NCVRD_STAY_FROM_DT']</t>
  </si>
  <si>
    <t>Noncovered Stay Through Date</t>
  </si>
  <si>
    <t>EFFECTIVE WITH NCH  VERSION H, THE ENDING DATE OF THE BENEFICIARYS NONCOVERED STAY (USED FOR INTERNAL CWFMQA EDITING PURPOSES.)  NOTE:  DURING THE NCH VERSION H CONVERSION THIS FIELD WAS POPULATED WITH DATA THROUGHOUT HISTORY (BACK TO SERVICE YEAR 1991). [NCH]</t>
  </si>
  <si>
    <t>ExplanationOfBenefit.supportingInfo.where(category.coding.where(system='https://bluebutton.cms.gov/fhir/CodeSystem/Supporting-Information').exists() and category.coding.where(code='CLM_NCVRD_THRU_DT').exists()).timing</t>
  </si>
  <si>
    <t>2025-01-02</t>
  </si>
  <si>
    <t>CLM_NCVRD_THRU_DT</t>
  </si>
  <si>
    <t>['NCH_VRFD_NCVRD_STAY_THRU_DT']</t>
  </si>
  <si>
    <t>Qualified Stay From Date</t>
  </si>
  <si>
    <t>THE BEGINNING DATE OF THE BENEFICIARYS QUALIFYING STAY  USED FOR INTERNAL CWFMQA EDITING PURPOSES). FOR INPATIENT CLAIMS, THE DATE RELATES TO THE PPS PORTION OF THE INLIER FOR WHICH THERE IS NO UTILIZATION TO BENEFITS. FOR SNF CLAIMS, THE DATE RELATES TO A QUALIFYING STAY FROM A HOSPITAL THAT IS AT LEAST TWO DAYS IN A ROW IF THE SOURCE OF ADMISSION IS AN A, OR AT LEAST THREE DAYS IN A ROW IF THE SOURCE OF ADMISSION IS OTHER THAN A. [HRMZ]    NOTE:  DURING THE NCH VERSION H CONVERSION THIS FIELD WAS POPULATED WITH DATA THROUGHOUT HISTORY (BACK TO SERVICE YEAR 1991).</t>
  </si>
  <si>
    <t>['HHA', 'Inpatient', 'SNF']</t>
  </si>
  <si>
    <t>ExplanationOfBenefit.supportingInfo.where(category.coding.where(system='https://bluebutton.cms.gov/fhir/CodeSystem/Supporting-Information').exists() and category.coding.where(code='CLM_QLFY_STAY_FROM_DT').exists()).timing</t>
  </si>
  <si>
    <t>CLM_QLFY_STAY_FROM_DT</t>
  </si>
  <si>
    <t>['NCH_QLFYD_STAY_FROM_DT']</t>
  </si>
  <si>
    <t>Qualified Stay Through Date</t>
  </si>
  <si>
    <t>THE ENDING DATE OF THE BENEFICIARYS QUALIFYING STAY  USED FOR INTERNAL CWFMQA EDITING PURPOSES.) FOR INPATIENT CLAIMS, THE DATE RELATES TO THE PPS PORTION OF THE INLIER FOR WHICH THERE IS NO UTILIZATION TO BENEFITS. FOR SNF CLAIMS, THE DATE RELATES TO A QUALIFYING STAY FROM A HOSPITAL THAT IS AT LEAST TWO DAYS IN A ROW IF THE SOURCE OF ADMISSION IS AN A, OR AT LEAST THREE DAYS IN A ROW IF THE SOURCE OF ADMISSION IS OTHER THAN A. [HRMZ]    NOTE:  DURING THE NCH VERSION H, CONVERSION THIS FIELD WAS POPULATED WITH DATA THROUGHOUT HISTORY (BACK TO SERVICE YEAR 1991). [NCH]</t>
  </si>
  <si>
    <t>ExplanationOfBenefit.supportingInfo.where(category.coding.where(system='https://bluebutton.cms.gov/fhir/CodeSystem/Supporting-Information').exists() and category.coding.where(code='CLM_QLFY_STAY_THRU_DT').exists()).timing</t>
  </si>
  <si>
    <t>CLM_QLFY_STAY_THRU_DT</t>
  </si>
  <si>
    <t>['CLM_QLFY_STAY_THRU_DT']</t>
  </si>
  <si>
    <t>Covered Care Through Date</t>
  </si>
  <si>
    <t>THE DATE ON A CLAIM FOR WHICH THE COVERED LEVEL OF CARE ENDED IN A GENERAL HOSPITAL OR THE ACTIVE CARE ENDED IN A PSYCHIATRIC/TB HOSPITAL.</t>
  </si>
  <si>
    <t>ExplanationOfBenefit.supportingInfo.where(category.coding.where(system='https://bluebutton.cms.gov/fhir/CodeSystem/Supporting-Information').exists() and category.coding.where(code='CLM_ACTV_CARE_THRU_DT').exists()).timing</t>
  </si>
  <si>
    <t>CLM_ACTV_CARE_THRU_DT</t>
  </si>
  <si>
    <t>['NCH_ACTV_OR_CVRD_LVL_CARE_THRU']</t>
  </si>
  <si>
    <t>Medicare Benefits Exhausted Date</t>
  </si>
  <si>
    <t>THE DATE THE BENEFICIARYS MEDICARE BENEFITS WERE EXHAUSTED. [NCH]</t>
  </si>
  <si>
    <t>['Hospice', 'Inpatient', 'SNF']</t>
  </si>
  <si>
    <t>ExplanationOfBenefit.supportingInfo.where(category.coding.where(system='https://bluebutton.cms.gov/fhir/CodeSystem/Supporting-Information').exists() and category.coding.where(code='CLM_MDCR_EXHSTD_DT').exists()).timing</t>
  </si>
  <si>
    <t>CLM_MDCR_EXHSTD_DT</t>
  </si>
  <si>
    <t>['NCH_BENE_MDCR_BNFTS_EXHTD_DT_I']</t>
  </si>
  <si>
    <t>FI Claim Action Code</t>
  </si>
  <si>
    <t>THE TYPE OF ACTION REQUESTED BY THE INTERMEDIARY TO BE TAKEN ON AN INSTITUTIONAL CLAIM.</t>
  </si>
  <si>
    <t>ExplanationOfBenefit.supportingInfo.where(category.coding.where(system='https://bluebutton.cms.gov/fhir/CodeSystem/Supporting-Information').exists() and category.coding.where(code='CLM_FI_ACTN_CD').exists()).code.coding.code</t>
  </si>
  <si>
    <t>CLM_FI_ACTN_CD</t>
  </si>
  <si>
    <t>https://bluebutton.cms.gov/fhir/CodeSystem/CLM-FI-ACTN-CD</t>
  </si>
  <si>
    <t>['FI_CLM_ACTN_CD']</t>
  </si>
  <si>
    <t>Lifetime Reserved Days Used Count</t>
  </si>
  <si>
    <t>THE NUMBER OF LIFETIME RESERVE DAYS THAT THE BENEFICIARY HAS ELECTED TO USE DURING THE PERIOD COVERED BY THE INSTITUTIONAL CLAIM.  UNDER MEDICARE, EACH BENEFICIARY HAS A ONE-TIME RESERVE OF SIXTY ADDITIONAL DAYS OF INPATIENT HOSPITAL COVERAGE THAT CAN BE USED AFTER 90 DAYS OF INPATIENT CARE HAVE BEEN PROVIDED IN A SINGLE BENEFIT PERIOD.  THIS COUNT IS USED TO SUBTRACT FROM THE TOTAL NUMBER OF LIFETIME RESERVE DAYS THAT A BENEFICIARY HAS AVAILABLE.</t>
  </si>
  <si>
    <t>ExplanationOfBenefit.adjudication.where(category.coding.where(system='https://bluebutton.cms.gov/fhir/CodeSystem/Adjudication' and code='CLM_MDCR_IP_LRD_USE_CNT').exists()).value</t>
  </si>
  <si>
    <t>CLM_MDCR_IP_LRD_USE_CNT</t>
  </si>
  <si>
    <t>['BENE_LRD_USED_CNT']</t>
  </si>
  <si>
    <t>Claim Uncompensated Care Payment Amount</t>
  </si>
  <si>
    <t>THIS IS A PAYMENT FOR DSH HOSPITALS AS PART OF SECTION 3133 OF ACA.  IT REPRESENTS THE UNCOMPENSATED CARE AMOUNT OF THE PAYMENT.</t>
  </si>
  <si>
    <t>ExplanationOfBenefit.adjudication.where(category.coding.where(system='https://bluebutton.cms.gov/fhir/CodeSystem/Adjudication' and code='CLM_HIPPS_UNCOMPD_CARE_AMT').exists()).amount.value</t>
  </si>
  <si>
    <t>CLM_HIPPS_UNCOMPD_CARE_AMT</t>
  </si>
  <si>
    <t>['CCLF1.CLM_HIPPS_UNCOMPD_CARE_AMT']</t>
  </si>
  <si>
    <t>['CLM_UNCOMPD_CARE_PMT_AMT']</t>
  </si>
  <si>
    <t>Total Coinsurance Days Count</t>
  </si>
  <si>
    <t>THE COUNT OF THE TOTAL NUMBER OF COINSURANCE DAYS INVOLVED WITH THE BENEFICIARYS STAY IN A FACILITY.  [NCH, HRMZ]  FOR MEDICAID, THE NUMBER OF COVERED INPATIENT HOSPITAL DAYS OCCURRING AFTER THE 60TH DAY AND BEFORE THE 91ST DAY, OR THE NUMBER OF COVERED INPATIENT SKILLED NURSING FACILITY DAYS OCCURRING AFTER THE 20TH DAY AND BEFORE THE 101ST DAY OF THE BENEFIT PERIOD. [HRMZ]</t>
  </si>
  <si>
    <t>ExplanationOfBenefit.adjudication.where(category.coding.where(system='https://bluebutton.cms.gov/fhir/CodeSystem/Adjudication' and code='CLM_INSTNL_MDCR_COINS_DAY_CNT').exists()).value</t>
  </si>
  <si>
    <t>CLM_INSTNL_MDCR_COINS_DAY_CNT</t>
  </si>
  <si>
    <t>['BENE_TOT_COINSRNC_DAYS_CNT']</t>
  </si>
  <si>
    <t>Claim Disposition Code</t>
  </si>
  <si>
    <t>A CODE INDICATING THE DISPOSITION OR OUTCOME OF A PROCESSED CLAIM RECORD.    REFERENCE TABLE: CLM_DISP_CD</t>
  </si>
  <si>
    <t>ExplanationOfBenefit.supportingInfo.where(category.coding.where(system='https://bluebutton.cms.gov/fhir/CodeSystem/Supporting-Information').exists() and category.coding.where(code='CLM_DISP_CD').exists()).code.coding.code</t>
  </si>
  <si>
    <t>CLM_DISP_CD</t>
  </si>
  <si>
    <t>https://bluebutton.cms.gov/fhir/CodeSystem/CLM-DISP-CD</t>
  </si>
  <si>
    <t>['CCLF5.CLM_DISP_CD', 'CCLF6.CLM_DISP_CD']</t>
  </si>
  <si>
    <t>['CLM_DISP_CD']</t>
  </si>
  <si>
    <t>Total Charge Amount</t>
  </si>
  <si>
    <t>AN AMOUNT TOTALING THE SUM OF ALL THE LINE ITEM SUBMITTED CHARGES ON A CLAIM.</t>
  </si>
  <si>
    <t>ExplanationOfBenefit.total.where(category.coding.where(system='https://bluebutton.cms.gov/fhir/CodeSystem/Adjudication').exists() and category.coding.where(code='CLM_SBMT_CHRG_AMT').exists() ).amount.value</t>
  </si>
  <si>
    <t>CLM_SBMT_CHRG_AMT</t>
  </si>
  <si>
    <t>['CCLF1.CLM_MDCR_INSTNL_TOT_CHRG_AMT']</t>
  </si>
  <si>
    <t>['NCH_CARR_CLM_SBMTD_CHRG_AMT', 'CLM_TOT_CHRG_AMT']</t>
  </si>
  <si>
    <t>Non Utilization Day Count</t>
  </si>
  <si>
    <t>THE NUMBER OF INPATIENT DAYS OF CARE NOT COVERED BY THE PRIMARY PROVIDER OR BY MEDICARE FACILITY UTILIZATION. [HRMZ]</t>
  </si>
  <si>
    <t>ExplanationOfBenefit.adjudication.where(category.coding.where(system='https://bluebutton.cms.gov/fhir/CodeSystem/Adjudication' and code='CLM_INSTNL_NCVRD_DAY_CNT').exists()).value</t>
  </si>
  <si>
    <t>CLM_INSTNL_NCVRD_DAY_CNT</t>
  </si>
  <si>
    <t>['CLM_NON_UTLZTN_DAYS_CNT']</t>
  </si>
  <si>
    <t>Pass Through Per Diem Amount</t>
  </si>
  <si>
    <t>THE MAXIMUM AMOUNT A PROVIDER CAN BE PAID FOR EACH DAY OF CARE.  [HRMZ]  FOR MEDICARE IP, THE AMOUNT OF THE ESTABLISHED REIMBURSABLE COSTS FOR THE CURRENT YEAR DIVIDED BY THE ESTIMATED MEDICARE DAYS FOR THE CURRENT YEAR (ALL PPS CLAIMS), AS CALCULATED BY THE FI AND REIMBURSEMENT STAFF.  ITEMS REIMBURSED AS A PASS THROUGH INCLUDE CAPITAL-RELATED COSTS; DIRECT MEDICAL EDUCATION COSTS; KIDNEY ACQUISITION COSTS FOR HOSPITALS APPROVED AS RTCS; AND BAD DEBTS (PER PROVIDER REIMBURSEMENT MANUAL, PART 1, SECTION 2405.2)  ** NOTE: PASS THROUGH ARE NOT INCLUDED IN THE CLAIM PAYMENT AMOUNT. [NCH, HRMZ]</t>
  </si>
  <si>
    <t>ExplanationOfBenefit.adjudication.where(category.coding.where(system='https://bluebutton.cms.gov/fhir/CodeSystem/Adjudication' and code='CLM_INSTNL_PER_DIEM_AMT').exists()).amount.value</t>
  </si>
  <si>
    <t>CLM_INSTNL_PER_DIEM_AMT</t>
  </si>
  <si>
    <t>['CCLFA.CLM_INSTNL_PER_DIEM_AMT']</t>
  </si>
  <si>
    <t>['CLM_PASS_THRU_PER_DIEM_AMT']</t>
  </si>
  <si>
    <t>Claim Non Payment Reason Code</t>
  </si>
  <si>
    <t>THE REASON THAT NO MEDICARE PAYMENT IS MADE FOR SERVICES ON AN INSTITUTIONAL CLAIM.  NOTE:  EFFECTIVE WITH NCH VERSION I, THIS FIELD WAS PUT ON ALL INSTITUTIONAL CLAIM TYPES.  NOTE1:  THIS FIELD WAS PUT ON ALL INSTITUTIONAL CLAIM TYPES BUT DATA DID NOT START COMING IN ON OP/HHA/HOSPICE UNTIL 4/1/02.  PRIOR TO 4/1/02, DATA ONLY CAME IN INPATIENT/SNF CLAIMS.  NOTE2:  EFFECTIVE 4/1/02, THIS FIELD WAS ALSO EXPANDED TO TWO BYTES TO ACCOMMODATE NEW VALUES. THE NCH NEARLINE FILE DID NOT EXPAND THE CURRENT 1-BYTE FIELD BUT INSTITUTED A CROSSWALK OF THE 2-BYTE FIELD TO THE 1-BYTE CHARACTER VALUE. SEE TABLE OF CODE FOR THE CROSSWALK. [NCH]</t>
  </si>
  <si>
    <t>ExplanationOfBenefit.supportingInfo.where(category.coding.where(system='https://bluebutton.cms.gov/fhir/CodeSystem/Supporting-Information').exists() and category.coding.where(code='CLM_MDCR_NPMT_RSN_CD').exists()).code.coding.code</t>
  </si>
  <si>
    <t>CLM_MDCR_NPMT_RSN_CD</t>
  </si>
  <si>
    <t>https://bluebutton.cms.gov/fhir/CodeSystem/CLM-MDCR-NPMT-RSN-CD</t>
  </si>
  <si>
    <t>['CCLF1.CLM_MDCR_NPMT_RSN_CD']</t>
  </si>
  <si>
    <t>['CLM_MDCR_NON_PMT_RSN_CD']</t>
  </si>
  <si>
    <t>Claim PPS Capital DRG Weight Number</t>
  </si>
  <si>
    <t>EFFECTIVE 3/2/92, THE NUMBER USED TO DETERMINE A TRANSFER ADJUSTED CASE MIX INDEX FOR CAPITAL PPS.  THE NUMBER IS DETERMINED BY MULTIPLYING THE DRG WEIGHT TIMES THE DISCHARGE FRACTION. [NCH]</t>
  </si>
  <si>
    <t>ExplanationOfBenefit.adjudication.where(category.coding.where(system='https://bluebutton.cms.gov/fhir/CodeSystem/Adjudication' and code='CLM_MDCR_IP_PPS_DRG_WT_NUM').exists()).value</t>
  </si>
  <si>
    <t>CLM_MDCR_IP_PPS_DRG_WT_NUM</t>
  </si>
  <si>
    <t>['CLM_PPS_CPTL_DRG_WT_NUM']</t>
  </si>
  <si>
    <t>Claim PPS Capital Disproportionate Share Amount</t>
  </si>
  <si>
    <t>EFFECTIVE 3/2/92, THE AMOUNT OF DISPROPORTIONATE SHARE (RATE REFLECTING INDIGENT POPULATION SERVED) PORTION OF THE PPS PAYMENT FOR CAPITAL. [NCH]</t>
  </si>
  <si>
    <t>ExplanationOfBenefit.adjudication.where(category.coding.where(system='https://bluebutton.cms.gov/fhir/CodeSystem/Adjudication' and code='CLM_MDCR_IP_PPS_DSPRPRTNT_AMT').exists()).amount.value</t>
  </si>
  <si>
    <t>CLM_MDCR_IP_PPS_DSPRPRTNT_AMT</t>
  </si>
  <si>
    <t>['CCLF1.CLM_MDCR_IP_PPS_DSPRPRTNT_AMT']</t>
  </si>
  <si>
    <t>['CLM_PPS_CPTL_DSPRPRTNT_SHR_AMT']</t>
  </si>
  <si>
    <t>Claim PPS Capital Exception Amount</t>
  </si>
  <si>
    <t>EFFECTIVE 3/2/92, THE CAPITAL PPS AMOUNT OF EXCEPTION PAYMENTS PROVIDED FOR HOSPITALS WITH INORDINATELY HIGH LEVELS OF CAPITAL OBLIGATIONS. EXCEPTION PAYMENTS EXPIRE AT THE END OF THE 10-YEAR TRANSITION PERIOD. [NCH]</t>
  </si>
  <si>
    <t>ExplanationOfBenefit.adjudication.where(category.coding.where(system='https://bluebutton.cms.gov/fhir/CodeSystem/Adjudication' and code='CLM_MDCR_IP_PPS_EXCPTN_AMT').exists()).amount.value</t>
  </si>
  <si>
    <t>CLM_MDCR_IP_PPS_EXCPTN_AMT</t>
  </si>
  <si>
    <t>['CLM_PPS_CPTL_EXCPTN_AMT']</t>
  </si>
  <si>
    <t>Claim PPS Capital FSP Amount</t>
  </si>
  <si>
    <t>EFFECTIVE 3/2/92, THE AMOUNT OF THE FEDERAL SPECIFIC PORTION OF THE PPS PAYMENT FOR CAPITAL. [NCH]</t>
  </si>
  <si>
    <t>ExplanationOfBenefit.adjudication.where(category.coding.where(system='https://bluebutton.cms.gov/fhir/CodeSystem/Adjudication' and code='CLM_MDCR_IP_PPS_CPTL_FSP_AMT').exists()).amount.value</t>
  </si>
  <si>
    <t>CLM_MDCR_IP_PPS_CPTL_FSP_AMT</t>
  </si>
  <si>
    <t>['CLM_PPS_CPTL_FSP_AMT']</t>
  </si>
  <si>
    <t>Claim PPS Capital IME Amount</t>
  </si>
  <si>
    <t>EFFECTIVE 3/2/92, THE AMOUNT OF THE INDIRECT MEDICAL EDUCATION (IME) (REIMBURSABLE AMOUNT FOR TEACHING HOSPITALS ONLY; AN ADDED AMOUNT PASSED BY CONGRESS TO AUGMENT NORMAL PPS PAYMENTS FOR TEACHING HOSPITALS TO COMPENSATE THEM FOR HIGHER PATIENT COSTS RESULTING FROM MEDICAL EDUCATION PROGRAMS FOR INTERNS AND RESIDENTS) PORTION OF THE PPS PAYMENT FOR CAPITAL. [NCH]</t>
  </si>
  <si>
    <t>ExplanationOfBenefit.adjudication.where(category.coding.where(system='https://bluebutton.cms.gov/fhir/CodeSystem/Adjudication' and code='CLM_MDCR_IP_PPS_CPTL_IME_AMT').exists()).amount.value</t>
  </si>
  <si>
    <t>CLM_MDCR_IP_PPS_CPTL_IME_AMT</t>
  </si>
  <si>
    <t>['CCLF1.CLM_MDCR_IP_PPS_CPTL_IME_AMT']</t>
  </si>
  <si>
    <t>['CLM_PPS_CPTL_IME_AMT']</t>
  </si>
  <si>
    <t>Claim PPS Capital Outlier Amount</t>
  </si>
  <si>
    <t>EFFECTIVE 3/2/92, THE AMOUNT OF THE OUTLIER PORTION OF THE PPS PAYMENT FOR CAPITAL. [NCH]</t>
  </si>
  <si>
    <t>ExplanationOfBenefit.adjudication.where(category.coding.where(system='https://bluebutton.cms.gov/fhir/CodeSystem/Adjudication' and code='CLM_MDCR_IP_PPS_OUTLIER_AMT').exists()).amount.value</t>
  </si>
  <si>
    <t>CLM_MDCR_IP_PPS_OUTLIER_AMT</t>
  </si>
  <si>
    <t>['CLM_PPS_CPTL_OUTLIER_AMT']</t>
  </si>
  <si>
    <t>Claim PPS Old Capital Hold Harmless Amount</t>
  </si>
  <si>
    <t>EFFECTIVE 3/2/92, THIS AMOUNT IS THE HOLD HARMLESS AMOUNT PAYABLE FOR OLD CAPITAL AS COMPUTED BY PRICER FOR PROVIDERS WITH A PAYMENT CODE EQUAL TO A. THE HOLD HARMLESS AMOUNT-OLD CAPITAL IS 100 PERCENT OF THE REASONABLE COSTS OF OLD CAPITAL FOR SOLE COMMUNITY SOLE COMMUNITY HOSPITALS, OR 85 PERCENT OF THE REASONABLE COSTS ASSOCIATED WITH OLD CAPITAL FOR ALL OTHER HOSPITALS, PLUS A PAYMENT FOR NEW CAPITAL. [NCH]</t>
  </si>
  <si>
    <t>ExplanationOfBenefit.adjudication.where(category.coding.where(system='https://bluebutton.cms.gov/fhir/CodeSystem/Adjudication' and code='CLM_MDCR_IP_PPS_CPTL_HRMLS_AMT').exists()).amount.value</t>
  </si>
  <si>
    <t>CLM_MDCR_IP_PPS_CPTL_HRMLS_AMT</t>
  </si>
  <si>
    <t>['CLM_PPS_OLD_CPTL_HLD_HRMLS_AMT']</t>
  </si>
  <si>
    <t>Claim PPS Indicator Code</t>
  </si>
  <si>
    <t>EFFECTIVE WITH NCH VERSION H, THE CODE INDICATING WHETHER OR NOT THE (1) CLAIM IS PPS AND/OR (2) THE BENEFICIARY IS A DEEMED INSURED MEDICARE QUALIFIED GOVERNMENT EMPLOYEE (MQGE).  NOTE:  BEGINNING WITH NCH WEEKLY PROCESS DATE 10/3/97 THROUGH 5/29/98, THIS FIELD WAS POPULATED WITH ONLY THE PPS INDICATOR.  BEGINNING WITH NCH WEEKLY PROCESS DATE 6/5/98, THIS FIELD WAS ADDITIONALLY POPULATED WITH THE DEEMED MQGE INDICATOR. CLAIMS PROCESSED PRIOR TO 10/3/97 WILL CONTAIN SPACES. [NCH]</t>
  </si>
  <si>
    <t>ExplanationOfBenefit.supportingInfo.where(category.coding.where(system='https://bluebutton.cms.gov/fhir/CodeSystem/Supporting-Information').exists() and category.coding.where(code='CLM_PPS_IND_CD').exists()).code.coding.code</t>
  </si>
  <si>
    <t>CLM_PPS_IND_CD</t>
  </si>
  <si>
    <t>https://bluebutton.cms.gov/fhir/CodeSystem/CLM-PPS-IND-CD</t>
  </si>
  <si>
    <t>['CLM_PPS_IND_CD']</t>
  </si>
  <si>
    <t>Claim Total PPS Capital Amount</t>
  </si>
  <si>
    <t>THE TOTAL AMOUNT THAT IS PAYABLE FOR CAPITAL PPS FOR THE CLAIM.   THIS IS THE SUM OF THE CAPITAL HOSPITAL SPECIFIC PORTION, FEDERAL SPECIFIC PORTION, OUTLIER PORTION, DISPROPORTIONATE SHARE PORTION, INDIRECT MEDICAL EDUCATION PORTION, EXCEPTION PAYMENTS, AND HOLD HARMLESS PAYMENTS. [NCH]</t>
  </si>
  <si>
    <t>ExplanationOfBenefit.adjudication.where(category.coding.where(system='https://bluebutton.cms.gov/fhir/CodeSystem/Adjudication' and code='CLM_MDCR_IP_PPS_CPTL_TOT_AMT').exists()).amount.value</t>
  </si>
  <si>
    <t>CLM_MDCR_IP_PPS_CPTL_TOT_AMT</t>
  </si>
  <si>
    <t>['CLM_TOT_PPS_CPTL_AMT']</t>
  </si>
  <si>
    <t>Utilization Day Count</t>
  </si>
  <si>
    <t>THE NUMBER OF INPATIENT DAYS COVERED BY THE PRIMARY PROVIDER.  FOR MEDICARE IP &amp; HOSPICE, THE NUMBER OF COVERED DAYS OF CARE THAT ARE CHARGEABLE TO MEDICARE FACILITY UTILIZATION THAT INCLUDES FULL DAYS, COINSURANCE DAYS, AND LIFETIME RESERVE DAYS. [HRMZ]</t>
  </si>
  <si>
    <t>ExplanationOfBenefit.adjudication.where(category.coding.where(system='https://bluebutton.cms.gov/fhir/CodeSystem/Adjudication' and code='CLM_INSTNL_CVRD_DAY_CNT').exists()).value</t>
  </si>
  <si>
    <t>CLM_INSTNL_CVRD_DAY_CNT</t>
  </si>
  <si>
    <t>FI Number</t>
  </si>
  <si>
    <t>A NUMBER ASSIGNED BY CENTERS FOR MEDICARE AND MEDICAID SERVICES (CMS) IDENTIFYING A MEDICARE ADMINISTRATIVE CONTRACTOR (MAC) AUTHORIZED TO PROCESS MEDICARE CLAIMS.    REFERENCE TABLE: CLM_CNTRCTR_NUM</t>
  </si>
  <si>
    <t>ExplanationOfBenefit.supportingInfo.where(category.coding.where(system='https://bluebutton.cms.gov/fhir/CodeSystem/Supporting-Information').exists() and category.coding.where(code='CLM_CNTRCTR_NUM').exists()).code.coding.code</t>
  </si>
  <si>
    <t>10312</t>
  </si>
  <si>
    <t>CLM_CNTRCTR_NUM</t>
  </si>
  <si>
    <t>https://bluebutton.cms.gov/fhir/CodeSystem/CLM-CNTRCTR-NUM</t>
  </si>
  <si>
    <t>['CCLF1.CLM_CNTRCTR_NUM', 'CCLF5.CLM_CNTRCTR_NUM']</t>
  </si>
  <si>
    <t>['CARR_NUM', 'FI_NUM']</t>
  </si>
  <si>
    <t>The code outlining the primary payer.</t>
  </si>
  <si>
    <t>A CODE IDENTIFYING THE COVERAGE TYPE OF THE PRIMARY PAYER WHEN MEDICARE IS THE SECONDARY PAYER AS DEFINED BY THE COMMON WORKING FILE (CWF).REFERENCE TABLE: CLM_NCH_PRMRY_PYR_CD</t>
  </si>
  <si>
    <t>ExplanationOfBenefit.supportingInfo.where(category.coding.where(system='https://bluebutton.cms.gov/fhir/CodeSystem/Supporting-Information').exists() and category.coding.where(code='CLM_NCH_PRMRY_PYR_CD').exists()).code.coding.where(system='https://bluebutton.cms.gov/fhir/CodeSystem/CLM-PRMRY-PYR-CD').code</t>
  </si>
  <si>
    <t>I</t>
  </si>
  <si>
    <t>CLM_NCH_PRMRY_PYR_CD</t>
  </si>
  <si>
    <t>https://bluebutton.cms.gov/fhir/CodeSystem/CLM-NCH-PRMRY-PYR-CD</t>
  </si>
  <si>
    <t>['CCLF1.CLM_NCH_PRMRY_PYR_CD']</t>
  </si>
  <si>
    <t>['NCH_PRMRY_PYR_CD']</t>
  </si>
  <si>
    <t>Primary Payer Paid Amount</t>
  </si>
  <si>
    <t>THE AMOUNT OF A PAYMENT MADE ON BEHALF OF A MEDICARE BENEFICIARY BY A PRIMARY PAYER OTHER THAN MEDICARE, THAT THE PROVIDER IS APPLYING TO COVERED MEDICARE CHARGES ON AN INSTITUTIONAL, CARRIER, OR DMERC CLAIM. [NCH]</t>
  </si>
  <si>
    <t>ExplanationOfBenefit.adjudication.where(category.coding.where(system='https://bluebutton.cms.gov/fhir/CodeSystem/Adjudication' and code='CLM_MDCR_INSTNL_PRMRY_PYR_AMT').exists()).amount.value</t>
  </si>
  <si>
    <t>CLM_MDCR_INSTNL_PRMRY_PYR_AMT</t>
  </si>
  <si>
    <t>['NCH_PRMRY_PYR_CLM_PD_AMT']</t>
  </si>
  <si>
    <t>Rendering Physician NPI - Header Level</t>
  </si>
  <si>
    <t>A NUMBER IDENTIFYING THE NATIONAL PROVIDER IDENTIFIER (NPI) OF THE PROVIDER WHO RENDERED THE SERVICE, AS SOURCED FROM THE NATIONAL PLAN AND PROVIDER ENUMERATION SYSTEM (NPPES).    NOTE: THIS COLUMN IS POPULATED FOR CERTAIN TYPES OF CLAIMS WHERE THE SAME RENDERING PROVIDER NPI APPLIES TO ALL LINES OF THE CLAIM, AND IF THE RENDERING PROVIDER NPI ON THE CLAIM, AS PROVIDED BY THE SOURCE SYSTEM, CAN BE FOUND IN THE INTEGRATED DEPOSIT REPOSITORY (IDR) PROVIDER DATA AS SOURCED FROM NPPES.</t>
  </si>
  <si>
    <t>ExplanationOfBenefit.careTeam.where(role.coding.where(code = 'rendering').exists()).provider.identifier.value</t>
  </si>
  <si>
    <t>PRVDR_RNDRNG_PRVDR_NPI_NUM</t>
  </si>
  <si>
    <t>Rendering Provider NPI Number - Line Level</t>
  </si>
  <si>
    <t>A NUMBER IDENTIFYING THE NATIONAL PROVIDER IDENTIFIER (NPI) OF THE PROVIDER WHO RENDERED THE SERVICE, AS SOURCED FROM THE NATIONAL PLAN AND PROVIDER ENUMERATION SYSTEM (NPPES).    NOTE: THIS COLUMN IS POPULATED IF THE RENDERING PROVIDER NPI ON THE CLAIM, AS PROVIDED BY THE SOURCE SYSTEM, CAN BE FOUND IN THE INTEGRATED DEPOSIT REPOSITORY (IDR) PROVIDER DATA AS SOURCED FROM NPPES.</t>
  </si>
  <si>
    <t>['Carrier']</t>
  </si>
  <si>
    <t>This can be either the same or different as the other rendering provider fields. An alternative way to connect the nodes is to refer to the relevant careTeam sequence and then get the Provider's NPI from there.</t>
  </si>
  <si>
    <t>['MCS', 'NCH']</t>
  </si>
  <si>
    <t>['CCLF5.RNDRG_PRVDR_NPI_NUM', 'CCLF5.CLM_RNDRG_PRVDR_NPI_NUM']</t>
  </si>
  <si>
    <t>['CARR_LINE_PRFRMG_NPI_NUM', 'RNDRNG_PHYSN_NPI', 'PRF_PHYSN_NPI']</t>
  </si>
  <si>
    <t>Professional Component Charge</t>
  </si>
  <si>
    <t>FOR INPATIENT AND OUTPATIENT CLAIMS, THE AMOUNT OF PHYSICIAN AND OTHER PROFESSIONAL CHARGES COVERED UNDER MEDICARE PART B (E.G. IF COMPUTING INTERIM PAYMENT THESE CHARGES ARE DEDUCTED)</t>
  </si>
  <si>
    <t>['Inpatient', 'Outpatient', 'SNF']</t>
  </si>
  <si>
    <t>ExplanationOfBenefit.adjudication.where(category.coding.where(system='https://bluebutton.cms.gov/fhir/CodeSystem/Adjudication' and code='CLM_INSTNL_PRFNL_AMT').exists()).amount.value</t>
  </si>
  <si>
    <t>CLM_INSTNL_PRFNL_AMT</t>
  </si>
  <si>
    <t>['CCLFA.CLM_INSTNL_PRFNL_AMT']</t>
  </si>
  <si>
    <t>['NCH_PROFNL_CMPNT_CHRG_AMT']</t>
  </si>
  <si>
    <t>Blood Deductible Liability Amount</t>
  </si>
  <si>
    <t>AN AMOUNT IDENTIFYING THE PORTION OF THE BLOOD DEDUCTIBLE A BENEFICIARY IS LIABLE FOR.</t>
  </si>
  <si>
    <t>ExplanationOfBenefit.adjudication.where(category.coding.where(system='https://bluebutton.cms.gov/fhir/CodeSystem/Adjudication' and code='CLM_BLOOD_LBLTY_AMT').exists()).amount.value</t>
  </si>
  <si>
    <t>CLM_BLOOD_LBLTY_AMT</t>
  </si>
  <si>
    <t>['CCLFA.CLM_BLOOD_LBLTY_AMT']</t>
  </si>
  <si>
    <t>['NCH_BENE_BLOOD_DDCTBL_LBLTY_AM']</t>
  </si>
  <si>
    <t>Deductible Amount</t>
  </si>
  <si>
    <t>THE AMOUNT OF THE DEDUCTIBLE THE BENEFICIARY PAID FOR INPATIENT SERVICES, AS ORIGINALLY SUBMITTED ON THE INSTITUTIONAL CLAIM.[NCH]     NCH DERIVATION :      DERIVED FROM:      CLM_VAL_CD      CLM_VAL_AMT    DERIVATION RULE:  BASED ON THE PRESENCE OF VALUE CODE EQUAL TO A1, B1, OR C1 MOVE THE CORRESPONDING VALUE AMOUNT TO THE NCH_BENE_IP_DDCTBL_AMT. [NCH]</t>
  </si>
  <si>
    <t>ExplanationOfBenefit.adjudication.where(category.coding.where(system='https://bluebutton.cms.gov/fhir/CodeSystem/Adjudication' and code='CLM_MDCR_IP_BENE_DDCTBL_AMT').exists()).amount.value</t>
  </si>
  <si>
    <t>CLM_MDCR_IP_BENE_DDCTBL_AMT</t>
  </si>
  <si>
    <t>['CCLFA.CLM_MDCR_IP_BENE_DDCTBL_AMT']</t>
  </si>
  <si>
    <t>['NCH_BENE_IP_DDCTBL_AMT']</t>
  </si>
  <si>
    <t>Part A/B Coinsurance Liability Amount</t>
  </si>
  <si>
    <t>AN AMOUNT IDENTIFYING THE PORTION APPLIED TOWARD THE COINSURANCE A BENEFICIARY IS RESPONSIBLE FOR.</t>
  </si>
  <si>
    <t>ExplanationOfBenefit.total.where(category.coding.where(system='http://hl7.org/fhir/us/carin-bb/CodeSystem/C4BBAdjudication' and code='coinsurance').exists() and category.coding.where(system='https://bluebutton.cms.gov/fhir/CodeSystem/Adjudication' and code='CLM_MDCR_COINSRNC_AMT').exists()).amount.value</t>
  </si>
  <si>
    <t>CLM_MDCR_COINSRNC_AMT</t>
  </si>
  <si>
    <t>['FISS', 'NCH', 'VMS']</t>
  </si>
  <si>
    <t>['CCLFA.CLM_MDCR_COINSRNC_AMT']</t>
  </si>
  <si>
    <t>['NCH_BENE_PTA_COINSRNC_LBLTY_AM', 'NCH_BENE_PTB_COINSRNC_AMT']</t>
  </si>
  <si>
    <t>Other Physician NPI</t>
  </si>
  <si>
    <t>A NUMBER IDENTIFYING THE NATIONAL PROVIDER IDENTIFIER (NPI) OF AN OTHER PROVIDER AS SOURCED FROM THE NPI CROSSWALK REFERENCE INFORMATION PROVIDED BY THE NATIONAL PLAN AND PROVIDER ENUMERATION SYSTEM (NPPES).</t>
  </si>
  <si>
    <t>['Carrier', 'HHA', 'Hospice', 'Inpatient', 'Outpatient', 'SNF']</t>
  </si>
  <si>
    <t>ExplanationOfBenefit.careTeam.where(role.coding.where(code = 'otheroperating').exists()).provider.identifier.value or ExplanationOfBenefit.careTeam.where(role.coding.where(code = 'supervisor').exists()).provider.identifier.value</t>
  </si>
  <si>
    <t>This element traditionally refers to institutional claims. However, processing professional claims also populate the "supervisor" value for professional claims with a supervision relationship (eg MD supervising NP).</t>
  </si>
  <si>
    <t>PRVDR_OTHR_PRVDR_NPI_NUM</t>
  </si>
  <si>
    <t>['CCLF1.OTHR_PRVDR_NPI_NUM', 'CCLF1.CLM_OTHR_PRVDR_NPI_NUM']</t>
  </si>
  <si>
    <t>['OT_PHYSN_NPI']</t>
  </si>
  <si>
    <t>DRG Outlier Approved Payment Amount</t>
  </si>
  <si>
    <t>ON AN INSTITUTIONAL CLAIM, THE ADDITIONAL PAYMENT AMOUNT APPROVED BY THE PEER REVIEW ORGANIZATION DUE TO AN OUTLIER SITUATION FOR A BENEFICIARYS STAY UNDER THE PROSPECTIVE PAYMENT SYSTEM, WHICH HAS BEEN CLASSIFIED INTO A SPECIFIC DIAGNOSIS RELATED GROUP. [NCH]</t>
  </si>
  <si>
    <t>ExplanationOfBenefit.adjudication.where(category.coding.where(system='https://bluebutton.cms.gov/fhir/CodeSystem/Adjudication' and code='CLM_INSTNL_DRG_OUTLIER_AMT').exists()).amount.value</t>
  </si>
  <si>
    <t>CLM_INSTNL_DRG_OUTLIER_AMT</t>
  </si>
  <si>
    <t>['NCH_DRG_OUTLIER_APRVD_PMT_AMT']</t>
  </si>
  <si>
    <t>Provider Number (OSCAR/CCN)</t>
  </si>
  <si>
    <t>A NUMBER ASSIGNED TO A BILLING PROVIDER BY THE CENTERS FOR MEDICARE AND MEDICAID SERVICES (CMS) VERIFYING THAT THE PROVIDER IS MEDICARE CERTIFIED AND FOR WHAT TYPES OF SERVICES .    NOTE: THE OSCAR WAS RENAMED TO CMS CERTIFICATION NUMBER (CCN) IN 2007 BY CMS.</t>
  </si>
  <si>
    <t>ExplanationOfBenefit.contained.where(id = %root.provider.reference.substring(1)).identifier.where(system='http://terminology.hl7.org/NamingSystem/CCN').value</t>
  </si>
  <si>
    <t>This will sometimes be populated on Practitioners, even though individuals cannot be assigned an OSCAR number.</t>
  </si>
  <si>
    <t>CLM_BLG_PRVDR_OSCAR_NUM</t>
  </si>
  <si>
    <t>['CCLF1.PRVDR_OSCAR_NUM', 'CCLF1.CLM_BLG_PRVDR_OSCAR_NUM', 'CCLF2.PRVDR_OSCAR_NUM', 'CCLF2.CLM_FAC_PRVDR_OSCAR_NUM', 'CCLF3.PRVDR_OSCAR_NUM', 'CCLF3.CLM_BLG_PRVDR_OSCAR_NUM', 'CCLF4.PRVDR_OSCAR_NUM', 'CCLF4.CLM_BLG_PRVDR_OSCAR_NUM']</t>
  </si>
  <si>
    <t>['PRVDR_NUM']</t>
  </si>
  <si>
    <t>Outpatient Beneficiary Payment Amount</t>
  </si>
  <si>
    <t>EFFECTIVE WITH NCH VERSION H, THE AMOUNT PAID, FROM THE MEDICARE TRUST FUND, TO THE BENEFICIARY FOR THE SERVICES REPORTED ON THE OUTPATIENT CLAIM.  NOTE:  BEGINNING WITH NCH WEEKLY PROCESS DATE 10/3/97 THIS FIELD WAS POPULATED WITH DATA. CLAIMS PROCESSED PRIOR TO 10/3/97 WILL CONTAIN ZEROES IN THIS FIELD. [NCH]</t>
  </si>
  <si>
    <t>ExplanationOfBenefit.adjudication.where(category.coding.where(system='https://bluebutton.cms.gov/fhir/CodeSystem/Adjudication' and code='CLM_BENE_PD_AMT').exists()).amount.value</t>
  </si>
  <si>
    <t>The processing-equivalent field is CLM_BENE_PD_AMT for institutional claims.</t>
  </si>
  <si>
    <t>CLM_MDCR_INSTNL_BENE_PD_AMT</t>
  </si>
  <si>
    <t>['CLM_OP_BENE_PMT_AMT']</t>
  </si>
  <si>
    <t>AN AMOUNT IDENTIFYING THE TOTAL PAYMENT MADE TO A PROVIDER/SUPPLIER FOR SERVICES RENDERED ON AN INDIVIDUAL CLAIM.</t>
  </si>
  <si>
    <t>['Carrier', 'DME', 'Outpatient']</t>
  </si>
  <si>
    <t>ExplanationOfBenefit.total.where(category.coding.where(system='http://hl7.org/fhir/us/carin-bb/CodeSystem/C4BBAdjudication' and code='paidtoprovider').exists() and category.coding.where(system='https://bluebutton.cms.gov/fhir/CodeSystem/Adjudication' and code='CLM_PRVDR_PMT_AMT').exists()).amount.value</t>
  </si>
  <si>
    <t>CLM_PRVDR_PMT_AMT</t>
  </si>
  <si>
    <t>['CLM_OP_PRVDR_PMT_AMT', 'NCH_CLM_PRVDR_PMT_AMT']</t>
  </si>
  <si>
    <t>Revenue Center Discount Indicator Code</t>
  </si>
  <si>
    <t>EFFECTIVE WITH NCH VERSION I, THIS CODE REPRESENTS A FACTOR THAT SPECIFIES THE AMOUNT OF ANY APC DISCOUNT.  THE DISCOUNTING FACTOR IS APPLIED TO A LINE ITEM WITH A SERVICE INDICATOR (PART OF THE REV_CNTR_PMT_MTHD_IND_CD) OF T.  THE FLAG IS APPLICABLE WHEN MORE THAN ONE SIGNIFICANT PROCEDURE IS PERFORMED. **IF THERE IS NO DISCOUNTING THE FACTOR WILL BE 1.0.** [NCH]  NOTE1:  THIS FIELD IS POPULATED FOR THOSE CLAIMS THAT ARE REQUIRED TO PROCESS THROUGH OUTPATIENT PPS PRICER.  THE TYPE OF BILLS (TOB) REQUIRED TO PROCESS THROUGH ARE: 12X, 13X, 14X (EXCEPT MARYLAND PROVIDERS, INDIAN HEALTH PROVIDERS, HOSPITALS LOCATED IN AMERICAN SAMOA, GUAM AND SAIPAN AND CRITICAL ACCESS HOSPITALS (CAH)); 76X; 75X AND 34X IF CERTAIN HCPCS ARE ON THE BILL; AND ANY OUTPATIENT TYPE OF BILL WITH A CONDITION CODE 07 AND CERTAIN HCPCS.  THESE CLAIM TYPES COULD HAVE LINES THAT ARE NOT REQUIRED TO PRICE UNDER OPPS RULES SO THOSE LINES WOULD NOT HAVE DATA IN THIS FIELD.  ADDITIONAL EXCEPTION:  VIRGIN ISLAND HOSPITALS AND HOSPITALS THAT FURNISH ONLY INPATIENT PART B SERVICES WITH DATES OF SERVICE 1/1/02 AND FORWARD.  NOTE2:  IT HAS BEEN DISCOVERED THAT THIS FIELD MAY BE POPULATED WITH DATA ON CLAIMS WITH DATES OF SERVICE PRIOR TO 7/00 (IMPLEMENTATION OF CLAIM LINE EXPANSION OPPS/HHPPS).  THE ORIGINAL UNDERSTANDING OF THE NEW REVENUE CENTER FIELDS WAS THAT DATA WOULD BE POPULATED ON CLAIMS WITH DATES OF SERVICE 7/00 AND FORWARD.  DATA HAS BEEN FOUND IN CLAIMS WITH DATES OF SERVICE PRIOR TO 7/00 BECAUSE THE STANDARD SYSTEMS HAVE PROCESSED ANY CLAIM COMING IN 7/00 AND AFTER, MEETING THE ABOVE CRITERIA, THROUGH THE OUTPATIENT CODE EDITOR (OCE) REGARDLESS OF THE DATES OF SERVICE.  NOTE3:  VALUES D, U &amp; T REPRESENT THE FOLLOWING:  D = DISCOUNTING FRACTION (CURRENTLY 0.5)  U = NUMBER OF UNITS  T = TERMINATED PROCEDURE DISCOUNT (CURRENTLY 0.5)</t>
  </si>
  <si>
    <t>ExplanationOfBenefit.item.extension.where(url='https://bluebutton.cms.gov/fhir/StructureDefinition/CLM-REV-DSCNT-IND-CD').value.code</t>
  </si>
  <si>
    <t>CLM_REV_DSCNT_IND_CD</t>
  </si>
  <si>
    <t>https://bluebutton.cms.gov/fhir/CodeSystem/CLM-REV-DSCNT-IND-CD</t>
  </si>
  <si>
    <t>['REV_CNTR_DSCNT_IND_CD']</t>
  </si>
  <si>
    <t>Revenue Center Obligation to Accept As Full Payment Code</t>
  </si>
  <si>
    <t>EFFECTIVE WITH VERSION I, INDICATION THAT THE PROVIDER WAS OBLIGATED TO ACCEPT AS FULL PAYMENT THE AMOUNT RECEIVED FROM THE PRIMARY (OR SECONDARY) PAYER.</t>
  </si>
  <si>
    <t>ExplanationOfBenefit.item.extension.where(url='https://bluebutton.cms.gov/fhir/StructureDefinition/CLM-OTAF-ONE-IND-CD').value.code</t>
  </si>
  <si>
    <t>Y</t>
  </si>
  <si>
    <t>CLM_OTAF_ONE_IND_CD</t>
  </si>
  <si>
    <t>https://bluebutton.cms.gov/fhir/CodeSystem/CLM-OTAF-IND-CD</t>
  </si>
  <si>
    <t>['REV_CNTR_OTAF_PMT_CD']</t>
  </si>
  <si>
    <t>Revenue Center Packaging Indicator Code</t>
  </si>
  <si>
    <t>EFFECTIVE WITH NCH VERSION I, THE CODE USED TO IDENTIFY THOSE SERVICES THAT ARE PACKAGED/BUNDLED WITH ANOTHER SERVICE.  NOTE1:  THIS FIELD IS POPULATED FOR THOSE CLAIMS THAT ARE REQUIRED TO PROCESS THROUGH OUTPATIENT PPS PRICER.  THE TYPE OF BILLS (TOB) REQUIRED TO PROCESS THROUGH ARE: 12X, 13X, 14X (EXCEPT MARYLAND PROVIDERS, INDIAN HEALTH PROVIDERS, HOSPITALS LOCATED IN AMERICAN SAMOA, GUAM AND SAIPAN AND CRITICAL ACCESS HOSPITALS (CAH)); 76X; 75X AND 34X IF CERTAIN HCPCS ARE ON THE BILL; AND ANY OUTPATIENT TYPE OF BILL WITH A CONDITION CODE 07 AND CERTAIN HCPCS.  THESE CLAIM TYPES COULD HAVE LINES THAT ARE NOT REQUIRED TO PRICE UNDER OPPS RULES SO THOSE LINES WOULD NOT HAVE DATA IN THIS FIELD.  ADDITIONAL EXCEPTION:  VIRGIN ISLAND HOSPITALS AND HOSPITALS THAT FURNISH ONLY INPATIENT PART B SERVICES WITH DATES OF SERVICE 1/1/02 AND FORWARD.  NOTE2:  IT HAS BEEN DISCOVERED THAT THIS FIELD MAY BE POPULATED WITH DATA ON CLAIMS WITH DATES OF SERVICE PRIOR TO 7/00 (IMPLEMENTATION OF CLAIM LINE EXPANSION OPPS/HHPPS).  THE ORIGINAL UNDERSTANDING OF THE NEW REVENUE CENTER FIELDS WAS THAT DATA WOULD BE POPULATED ON CLAIMS WITH DATES OF SERVICE 7/00 AND FORWARD.  DATA HAS BEEN FOUND IN CLAIMS WITH DATES OF SERVICE PRIOR TO 7/00 BECAUSE THE STANDARD SYSTEMS HAVE PROCESSED ANY CLAIM COMING IN 7/00 AND AFTER, MEETING THE ABOVE CRITERIA, THROUGH THE OUTPATIENT CODE EDITOR (OCE) REGARDLESS OF THE DATES OF SERVICE. [NCH]</t>
  </si>
  <si>
    <t>ExplanationOfBenefit.item.extension.where(url='https://bluebutton.cms.gov/fhir/StructureDefinition/CLM-REV-PACKG-IND-CD').value.code</t>
  </si>
  <si>
    <t>CLM_REV_PACKG_IND_CD</t>
  </si>
  <si>
    <t>https://bluebutton.cms.gov/fhir/CodeSystem/CLM-REV-PACKG-IND-CD</t>
  </si>
  <si>
    <t>['REV_CNTR_PACKG_IND_CD']</t>
  </si>
  <si>
    <t>Revenue Center Payment Method Indicator Code</t>
  </si>
  <si>
    <t>EFFECTIVE WITH NCH VERSION I, THE CODE USED TO IDENTIFY HOW THE SERVICE IS PRICED FOR PAYMENT.  THIS FIELD IS MADE UP OF TWO PIECES OF DATA, 1ST POSITION BEING THE SERVICE INDICATOR AND THE 2ND POSITION BEING THE PAYMENT INDICATOR.    NOTE1:  THIS FIELD IS POPULATED FOR THOSE CLAIMS THAT ARE REQUIRED TO PROCESS THROUGH OUTPATIENT PPS PRICER.  THE TYPE OF BILLS (TOB) REQUIRED TO PROCESS THROUGH ARE: 12X, 13X, 14X (EXCEPT MARYLAND PROVIDERS, INDIAN HEALTH PROVIDERS, HOSPITALS LOCATED IN AMERICAN SAMOA, GUAM AND SAIPAN AND CRITICAL ACCESS HOSPITALS (CAH)); 76X; 75X AND 34X IF CERTAIN HCPCS ARE ON THE BILL; AND ANY OUTPATIENT TYPE OF BILL WITH A CONDITION CODE 07 AND CERTAIN HCPCS.  THESE CLAIM TYPES COULD HAVE LINES THAT ARE NOT REQUIRED TO PRICE UNDER OPPS RULES SO THOSE LINES WOULD NOT HAVE DATA IN THIS FIELD.    ADDITIONAL EXCEPTION:  VIRGIN ISLAND HOSPITALS AND HOSPITALS THAT FURNISH ONLY INPATIENT PART B SERVICES WITH DATES OF SERVICE 1/1/02 AND FORWARD.    NOTE2:  IT HAS BEEN DISCOVERED THAT THIS FIELD MAY BE POPULATED WITH DATA ON CLAIMS WITH DATES OF SERVICE PRIOR TO 7/00 (IMPLEMENTATION OF CLAIM LINE EXPANSION OPPS/HHPPS).  THE ORIGINAL UNDERSTANDING OF THE NEW REVENUE CENTER FIELDS WAS THAT DATA WOULD BE POPULATED ON CLAIMS WITH DATES OF SERVICE 7/00 AND FORWARD.  DATA HAS BEEN FOUND IN CLAIMS WITH DATES OF SERVICE PRIOR TO 7/00 BECAUSE THE STANDARD SYSTEMS HAVE PROCESSED ANY CLAIM COMING IN 7/00 AND AFTER, MEETING THE ABOVE CRITERIA, THROUGH THE OUTPATIENT CODE EDITOR (OCE) REGARDLESS OF THE DATES OF SERVICE.    NOTE3:  EFFECTIVE 10/2005, THIS FIELD WILL NO LONGER REPRESENT THE SERVICE INDICATOR AND THE PAYMENT INDICATOR. THIS FIELD WILL NOW HOUSE THE 2-BYTE PAYMENT INDICATOR.  THE STATUS INDICATOR WILL BE HOUSED IN A NEW FIELD NAMED: REV_CNTR_STUS_IND_CD. [NCH]</t>
  </si>
  <si>
    <t>ExplanationOfBenefit.item.extension.where(url='https://bluebutton.cms.gov/fhir/StructureDefinition/CLM-REV-PMT-MTHD-CD').value.code</t>
  </si>
  <si>
    <t>CLM_REV_PMT_MTHD_CD</t>
  </si>
  <si>
    <t>https://bluebutton.cms.gov/fhir/CodeSystem/CLM-REV-PMT-MTHD-CD</t>
  </si>
  <si>
    <t>['REV_CNTR_PMT_MTHD_IND_CD']</t>
  </si>
  <si>
    <t>Revenue Center Status Indicator Code</t>
  </si>
  <si>
    <t>EFFECTIVE 10/3/2005 WITH THE IMPLEMENTATION OF NCH/NMUD CR#2, THE CODE USED TO IDENTIFY THE STATUS OF THE LINE ITEM SERVICE.  THIS FIELD ALONG WITH THE PAYMENT METHOD INDICATOR FIELD IS USED TO IDENTIFY HOW THE SERVICE WAS PRICED FOR PAYMENT.  NOTE1:  THIS 2-BYTE INDICATOR IS BEING ADDED DUE TO AN EXPANSION OF A FIELD THAT CURRENTLY EXIST ON THE REVENUE CENTER TRAILER.  THE STATUS INDICATOR IS CURRENTLY THE 1ST POSITION OF THE REVENUE CENTER PAYMENT METHOD INDICATOR CODE.  THE PAYMENT METHOD INDICATOR CODE IS BEING SPLIT INTO TWO 2-BYTE FIELDS (PAYMENT INDICATOR AND STATUS INDICATOR). THE EXPANDED PAYMENT INDICATOR WILL CONTINUE TO BE STORED IN THE EXISTING PAYMENT METHOD INDICATOR FIELD. THE SPLIT OF THE CURRENT PAYMENT METHOD INDICATOR FIELD IS DUE TO THE EXPANSION OF BOTH PIECES OF DATE FROM1-BYTE TO 2-BYTES.  NOTE2:  THIS FIELD IS POPULATED FOR THOSE CLAIMS THAT ARE REQUIRED TO PROCESS THROUGH OUTPATIENT PPS PRICER.  THE TYPE OF BILLS (TOB) REQUIRED TO PROCESS THROUGH ARE: 12X, 13X, 14X (EXCEPT MARYLAND PROVIDERS, INDIAN HEALTH PROVIDERS, HOSPITALS LOCATED IN AMERICAN SAMOA, GUAM AND SAIPAN AND CRITICAL ACCESS HOSPITALS (CAH)); 76X; 75X AND 34X IF CERTAIN HCPCS ARE ON THE BILL; AND ANY OUTPATIENT TYPE OF BILL WITH A CONDITION CODE 07 AND CERTAIN HCPCS.  THESE CLAIM TYPES COULD HAVE LINES THAT ARE NOT REQUIRED TO PRICE UNDER OPPS RULES SO THOSE LINES WOULD NOT HAVE DATA IN THIS FIELD.  ADDITIONAL EXCEPTION:  VIRGIN ISLAND HOSPITALS AND HOSPITALS THAT FURNISH ONLY INPATIENT PART B SERVICES. [NCH]</t>
  </si>
  <si>
    <t>ExplanationOfBenefit.item.extension.where(url='https://bluebutton.cms.gov/fhir/StructureDefinition/CLM-REV-CNTR-STUS-CD').value.code</t>
  </si>
  <si>
    <t>J</t>
  </si>
  <si>
    <t>A condensed version of the data available in this field is available for both processed and processing claims in CLM_REV_PMT_MTHD_CD.</t>
  </si>
  <si>
    <t>CLM_REV_CNTR_STUS_CD</t>
  </si>
  <si>
    <t>https://bluebutton.cms.gov/fhir/CodeSystem/CLM-REV-CNTR-STUS-CD</t>
  </si>
  <si>
    <t>['REV_CNTR_STUS_IND_CD']</t>
  </si>
  <si>
    <t>Hospice Period Count</t>
  </si>
  <si>
    <t>THE COUNT OF THE NUMBER OF HOSPICE PERIOD TRAILERS PRESENT FOR THE BENEFICIARYS RECORD.  PRIOR TO BBA A BENEFICIARY WAS ENTITLED TO A MAXIMUM OF 4 HOSPICE BENEFIT PERIODS THAT MAY BE ELECTED IN LIEU OF STANDARD PART A HOSPITAL BENEFITS.  THE BBA CHANGED THE HOSPICE BENEFIT TO THE FOLLOWING:  2 INITIAL 90 DAY PERIODS FOLLOWED BY AN UNLIMITED NUMBER OF 60 DAY PERIODS (EFFECTIVE 8/5/97). [NCH]    EDIT RULES :    RANGE: 1 THRU 3: 1 = 1ST 90-DAY PERIOD; 2 = 2ND 90 DAY PERIOD AND 3 = 60-DAY PERIOD (3 OR GREATER PERIODS)</t>
  </si>
  <si>
    <t>['Hospice']</t>
  </si>
  <si>
    <t>ExplanationOfBenefit.adjudication.where(category.coding.where(system='https://bluebutton.cms.gov/fhir/CodeSystem/Adjudication' and code='CLM_MDCR_HOSPC_PRD_CNT').exists()).value</t>
  </si>
  <si>
    <t>CLM_MDCR_HOSPC_PRD_CNT</t>
  </si>
  <si>
    <t>['BENE_HOSPC_PRD_CNT']</t>
  </si>
  <si>
    <t>Claim LUPA Indicator Code</t>
  </si>
  <si>
    <t>EFFECTIVE WITH NCH VERSION I, THE CODE USED TO IDENTIFY THOSE HOME HEALTH PPS CLAIMS THAT HAVE 4 VISITS OR LESS IN A 60-DAY EPISODE. IF AN HHA PROVIDES 4 VISITS OR LESS, THEY WILL BE REIMBURSED BASED ON A NATIONAL STANDARDIZED PER VISIT RATE INSTEAD OF HHRGS.    NOTE:  BEGINNING 10/1/00, THIS FIELD WILL BE POPULATED WITH DATA.  CLAIMS PROCESSED PRIOR TO 10/1/00 WILL CONTAIN SPACES. [NCH]</t>
  </si>
  <si>
    <t>['HHA']</t>
  </si>
  <si>
    <t>ExplanationOfBenefit.supportingInfo.where(category.coding.where(system='https://bluebutton.cms.gov/fhir/CodeSystem/Supporting-Information').exists() and category.coding.where(code='CLM_HHA_LUP_IND_CD').exists()).code.coding.code</t>
  </si>
  <si>
    <t>L</t>
  </si>
  <si>
    <t>CLM_HHA_LUP_IND_CD</t>
  </si>
  <si>
    <t>https://bluebutton.cms.gov/fhir/CodeSystem/CLM-HHA-LUP-IND-CD</t>
  </si>
  <si>
    <t>['CLM_HHA_LUPA_IND_CD']</t>
  </si>
  <si>
    <t>Claim Referral Code</t>
  </si>
  <si>
    <t>EFFECTIVE WITH NCH VERSION I, THE CODE USED TO IDENTIFY THE MEANS BY WHICH THE BENEFICIARY WAS REFERRED FOR HOME HEALTH SERVICES.    NOTE:  BEGINNING 10/1/00, THIS FIELD WILL BE POPULATED WITH DATA.  CLAIMS PROCESSED PRIOR TO 10/1/00 WILL CONTAIN SPACES IN THIS FIELD. [NCH]</t>
  </si>
  <si>
    <t>ExplanationOfBenefit.supportingInfo.where(category.coding.where(system='https://bluebutton.cms.gov/fhir/CodeSystem/Supporting-Information').exists() and category.coding.where(code='CLM_HHA_RFRL_CD').exists()).code.coding.code</t>
  </si>
  <si>
    <t>CLM_HHA_RFRL_CD</t>
  </si>
  <si>
    <t>https://bluebutton.cms.gov/fhir/CodeSystem/CLM-HHA-RFRL-CD</t>
  </si>
  <si>
    <t>['CLM_HHA_RFRL_CD']</t>
  </si>
  <si>
    <t>Claim Total Visit Count</t>
  </si>
  <si>
    <t>EFFECTIVE WITH NCH VERSION H, THE COUNT OF THE NUMBER OF HHA VISITS AS DERIVED BY CWF.   NOTE1:  DURING THE NCH VERSION H CONVERSION THIS FIELD WAS POPULATED WITH DATA THROUGHOUT HISTORY (BACK TO SERVICE YEAR 1991) USING THE CWF DERIVATION RULE (UNITS ASSOCIATED WITH REVENUE CENTER CODES 042X, 043X, 044X, 055X, 056X, 057X, 058X AND 059X. VALUE 999 WILL BE DISPLAYED IF THE SUM OF THE REVENUE CENTER UNIT COUNT EQUALS OR EXCEEDS 999.  NOTE2:  EFFECTIVE 7/1/99, ALL HHA CLAIMS RECEIVED WITH SERVICE FROM DATES 7/1/99 AND AFTER WILL BE PROCESSED AS IF THE UNITS FIELD CONTAINS THE 15 MINUTE INTERVAL COUNT; AND EACH VISIT REVENUE CODE LINE ITEM WILL BE COUNTED AS ONE VISIT.  THIS FIELD IS CALCULATED CORRECTLY; BUT THOSE USERS WHO DERIVE THE COUNT THEMSELVES THEY WILL HAVE TO REVISE THEIR ROUTINE.  NO LONGER IS THE COUNT DERIVED BY ADDING UP THE UNITS FIELDS ASSOCIATED WITH THE HHA VISIT REVENUE CODES. [NCH]</t>
  </si>
  <si>
    <t>ExplanationOfBenefit.adjudication.where(category.coding.where(system='https://bluebutton.cms.gov/fhir/CodeSystem/Adjudication' and code='CLM_MDCR_HHA_TOT_VISIT_CNT').exists()).value</t>
  </si>
  <si>
    <t>CLM_MDCR_HHA_TOT_VISIT_CNT</t>
  </si>
  <si>
    <t>['CLM_HHA_TOT_VISIT_CNT']</t>
  </si>
  <si>
    <t>Claim Status Code</t>
  </si>
  <si>
    <t>THE CURRENT STATUS INFORMATION FOR THE PENDING AND PAID CLAIMS CURRENTLY IN THE SYSTEM.</t>
  </si>
  <si>
    <t>ExplanationOfBenefit.supportingInfo.where(category.coding.where(system='https://bluebutton.cms.gov/fhir/CodeSystem/Supporting-Information').exists() and category.coding.where(code='CLM_AUDT_TRL_STUS_CD').exists()).code.coding.code</t>
  </si>
  <si>
    <t>V2_MDCR_CLM_LCTN_HSTRY</t>
  </si>
  <si>
    <t>CLM_AUDT_TRL_STUS_CD</t>
  </si>
  <si>
    <t>['FISS', 'MCS', 'VMS']</t>
  </si>
  <si>
    <t>Claim Paid Status Code</t>
  </si>
  <si>
    <t>A CODE IDENTIFYING THE STATUS OF A CLAIM.    REFERENCE TABLE: CLM_PD_STUS_CD</t>
  </si>
  <si>
    <t>ExplanationOfBenefit.supportingInfo.where(category.coding.where(system='https://bluebutton.cms.gov/fhir/CodeSystem/Supporting-Information').exists() and category.coding.where(code='CLM_PD_STUS_CD').exists()).code.coding.code</t>
  </si>
  <si>
    <t>Used to populate ExplanationOfBenefit.outcome</t>
  </si>
  <si>
    <t>CLM_PD_STUS_CD</t>
  </si>
  <si>
    <t>Referring Provider NPI Number</t>
  </si>
  <si>
    <t>A NUMBER IDENTIFYING THE NATIONAL PROVIDER IDENTIFIER (NPI) OF A REFERRING PROVIDER AS SOURCED FROM THE NPI CROSSWALK REFERENCE INFORMATION PROVIDED BY THE NATIONAL PLAN AND PROVIDER ENUMERATION SYSTEM (NPPES).</t>
  </si>
  <si>
    <t>['Carrier', 'DME', 'HHA', 'Hospice', 'Outpatient']</t>
  </si>
  <si>
    <t>ExplanationOfBenefit.careTeam.where(role.coding.where(code = 'referring').exists()).provider.identifier.value</t>
  </si>
  <si>
    <t>PRVDR_RFRG_PRVDR_NPI_NUM</t>
  </si>
  <si>
    <t>['CCLF5.CLM_RFRG_PRVDR_NPI_NUM', 'CCLF6.ORDRG_PRVDR_NPI_NUM', 'CCLF6.CLM_RFRG_PRVDR_NPI_NUM']</t>
  </si>
  <si>
    <t>['RFR_PHYSN_NPI']</t>
  </si>
  <si>
    <t>Allowed Charge Amount</t>
  </si>
  <si>
    <t>AN AMOUNT IDENTIFYING THE SUM OF ALL THE LINE ITEM ALLOWED CHARGES ON A CLAIM.</t>
  </si>
  <si>
    <t>ExplanationOfBenefit.total.where(category.coding.where(system='https://bluebutton.cms.gov/fhir/CodeSystem/Adjudication').exists() and category.coding.where(code='CLM_ALOWD_CHRG_AMT').exists() ).amount.value</t>
  </si>
  <si>
    <t>CLM_ALOWD_CHRG_AMT</t>
  </si>
  <si>
    <t>['NCH_CARR_CLM_ALOWD_AMT']</t>
  </si>
  <si>
    <t>ExplanationOfBenefit.total.where(category.coding.where(system='https://bluebutton.cms.gov/fhir/CodeSystem/Adjudication').exists() and category.coding.where(code='CLM_BENE_PMT_AMT').exists() ).amount.value</t>
  </si>
  <si>
    <t>Paid to Beneficiary Amount</t>
  </si>
  <si>
    <t>AN AMOUNT PAID TO A BENEFICIARY FOR A SUBMITTED CLAIM.</t>
  </si>
  <si>
    <t>ExplanationOfBenefit.total.where(category.coding.where(system='https://bluebutton.cms.gov/fhir/CodeSystem/Adjudication').exists() and category.coding.where(code='CLM_BENE_PD_AMT').exists() ).amount.value</t>
  </si>
  <si>
    <t>This refers to the processed field. This field may be populated for institutional processing claims, as it is the equivalent of CLM_MDCR_INSTNL_BENE_PD_AMT</t>
  </si>
  <si>
    <t>CLM_BENE_PD_AMT</t>
  </si>
  <si>
    <t>A CODE IDENTIFYING THE CLAIM RECORD TYPE BEING PROCESSED. VALID VALUES: W = PART B V = PART A U= BOTH</t>
  </si>
  <si>
    <t>CLM_RIC_CD</t>
  </si>
  <si>
    <t>https://bluebutton.cms.gov/fhir/CodeSystem/CLM-RIC-CD</t>
  </si>
  <si>
    <t>Claim Diagnosis Related Group Outlier Stay Code</t>
  </si>
  <si>
    <t>ON AN INSTITUTIONAL CLAIM, THE CODE THAT INDICATES THE BENEFICIARY STAY UNDER THE PROSPECTIVE PAYMENT SYSTEM WHICH, ALTHOUGH CLASSIFIED INTO A SPECIFIC DIAGNOSIS RELATED GROUP, HAS AN UNUSUALLY LONG LENGTH (DAY OUTLIER) OR EXCEPTIONALLY HIGH COST (COST OUTLIER). [NCH]</t>
  </si>
  <si>
    <t>ExplanationOfBenefit.supportingInfo.where(category.coding.where(system='https://bluebutton.cms.gov/fhir/CodeSystem/Supporting-Information').exists() and category.coding.where(code='DGNS_DRG_OUTLIER_CD').exists()).code.coding.code</t>
  </si>
  <si>
    <t>6</t>
  </si>
  <si>
    <t>DGNS_DRG_OUTLIER_CD</t>
  </si>
  <si>
    <t>https://bluebutton.cms.gov/fhir/CodeSystem/DGNS-DRG-OUTLIER-CD</t>
  </si>
  <si>
    <t>Anesthesia Unit Count</t>
  </si>
  <si>
    <t>A QUANTITY IDENTIFYING THE NUMBER OF SERVICES BILLED FOR AN ANESTHESIA SERVICE ON A CLAIM LINE OF SERVICE.</t>
  </si>
  <si>
    <t>ExplanationOfBenefit.item.extension.where(url='https://bluebutton.cms.gov/fhir/StructureDefinition/CLM-LINE-ANSTHSA-UNIT-CNT').value</t>
  </si>
  <si>
    <t>CLM_LINE_ANSTHSA_UNIT_CNT</t>
  </si>
  <si>
    <t>['CARR_LINE_ANSTHSA_UNIT_CNT']</t>
  </si>
  <si>
    <t>LINE PROVIDER TAX NUMBER</t>
  </si>
  <si>
    <t>ExplanationOfBenefit.item.extension.where(url='https://bluebutton.cms.gov/fhir/StructureDefinition/CLM-PRVDR-TAX-NUM').value</t>
  </si>
  <si>
    <t>{'type': {'coding': [{'system': 'http://terminology.hl7.org/CodeSystem/v2-0203', 'code': 'TAX', 'display': 'Tax ID number'}]}, 'system': 'urn:oid:2.16.840.1.113883.4.4', 'value': '15'}</t>
  </si>
  <si>
    <t>CLM_RNDRG_PRVDR_TAX_NUM</t>
  </si>
  <si>
    <t>['NCH', 'VMS']</t>
  </si>
  <si>
    <t>['CCLF5.CLM_RNDRG_PRVDR_TAX_NUM']</t>
  </si>
  <si>
    <t>['TAX_NUM']</t>
  </si>
  <si>
    <t>ExplanationOfBenefit.item.extension.where(url='https://bluebutton.cms.gov/fhir/StructureDefinition/CLM-LINE-RX-NUM').value</t>
  </si>
  <si>
    <t>no rx num here!</t>
  </si>
  <si>
    <t>['CARR_LINE_RX_NUM']</t>
  </si>
  <si>
    <t>ExplanationOfBenefit.item.serviced.start</t>
  </si>
  <si>
    <t>['CCLF2.CLM_LINE_FROM_DT', 'CCLF5.CLM_LINE_FROM_DT', 'CCLF6.CLM_LINE_FROM_DT']</t>
  </si>
  <si>
    <t>['LINE_1ST_EXPNS_DT']</t>
  </si>
  <si>
    <t>Coinsurance Amount</t>
  </si>
  <si>
    <t>EFFECTIVE WITH NCH VERSION H, THE BENEFICIARY COINSURANCE LIABILITY AMOUNT FOR THIS LINE ITEM SERVICE ON THE NONINSTITUTIONAL CLAIM.  NOTE:  BEGINNING WITH NCH WEEKLY PROCESS DATE 10/3/97 THIS FIELD WAS POPULATED WITH DATA. CLAIMS PROCESSED PRIOR TO 10/3/97 WILL CONTAIN ZEROES IN THIS FIELD. [NCH]</t>
  </si>
  <si>
    <t>ExplanationOfBenefit.item.adjudication.where(category.coding.where(system='https://bluebutton.cms.gov/fhir/CodeSystem/Adjudication') and category.coding.where(code='CLM_LINE_MDCR_COINSRNC_AMT')).amount.value</t>
  </si>
  <si>
    <t>CLM_LINE_MDCR_COINSRNC_AMT</t>
  </si>
  <si>
    <t>['LINE_COINSRNC_AMT']</t>
  </si>
  <si>
    <t>Line Item Diagnosis Code</t>
  </si>
  <si>
    <t>A CODE IDENTIFYING AN INTERNATIONAL CLASSIFICATION OF DISEASE CLINICAL MODIFICATION, NINTH OR TENTH REVISION (ICD-9/10-CM) DIAGNOSIS.    REFERENCE TABLE: DGNS_CD</t>
  </si>
  <si>
    <t>ExplanationOfBenefit.item.diagnosisSequence</t>
  </si>
  <si>
    <t>This refers to the diagnosis entry in the ExplanationOfBenefit.</t>
  </si>
  <si>
    <t>CLM_LINE_DGNS_CD</t>
  </si>
  <si>
    <t>['CCLF5.CLM_LINE_DGNS_CD']</t>
  </si>
  <si>
    <t>['LINE_ICD_DGNS_CD']</t>
  </si>
  <si>
    <t>Last Expense Date</t>
  </si>
  <si>
    <t>THE ENDING DATE OF SERVICE FOR THE CLAIM LINE.</t>
  </si>
  <si>
    <t>ExplanationOfBenefit.item.serviced.end</t>
  </si>
  <si>
    <t>CLM_LINE_THRU_DT</t>
  </si>
  <si>
    <t>['CCLF2.CLM_LINE_THRU_DT', 'CCLF5.CLM_LINE_THRU_DT', 'CCLF6.CLM_LINE_THRU_DT']</t>
  </si>
  <si>
    <t>['LINE_LAST_EXPNS_DT']</t>
  </si>
  <si>
    <t>Place Of Service Code</t>
  </si>
  <si>
    <t>INDICATION OF WHERE THE SERVICE WAS PERFORMED.</t>
  </si>
  <si>
    <t>ExplanationOfBenefit.item.location.coding.where(system='https://www.cms.gov/Medicare/Coding/place-of-service-codes/Place_of_Service_Code_Set').code</t>
  </si>
  <si>
    <t>07</t>
  </si>
  <si>
    <t>CLM_POS_CD</t>
  </si>
  <si>
    <t>https://bluebutton.cms.gov/fhir/CodeSystem/CLM-POS-CD</t>
  </si>
  <si>
    <t>['CCLF5.CLM_POS_CD', 'CCLF6.CLM_POS_CD']</t>
  </si>
  <si>
    <t>['LINE_PLACE_OF_SRVC_CD']</t>
  </si>
  <si>
    <t>Provider Participating Indicator Code</t>
  </si>
  <si>
    <t>INDICATION A PROVIDER IS PARTICIPATING OR ACCEPTING ASSIGNMENT FOR THIS CLAIM. [HRMZ]    CODE INDICATING WHETHER OR NOT A PROVIDER IS PARTICIPATING OR ACCEPTING ASSIGNMENT FOR THIS LINE ITEM SERVICE ON THE NONINSTITUTIONAL CLAIM. [NCH]</t>
  </si>
  <si>
    <t>ExplanationOfBenefit.item.extension.where(url='https://bluebutton.cms.gov/fhir/StructureDefinition/CLM-RNDRG-PRVDR-PRTCPTG-CD').value.code</t>
  </si>
  <si>
    <t>CLM_RNDRG_PRVDR_PRTCPTG_CD</t>
  </si>
  <si>
    <t>https://bluebutton.cms.gov/fhir/CodeSystem/PRTCPTNG-IND-CD</t>
  </si>
  <si>
    <t>['PRTCPTNG_IND_CD']</t>
  </si>
  <si>
    <t>Claim Rendering Provider Type Code</t>
  </si>
  <si>
    <t>THE TYPE OF PROVIDER  FURNISHING THE SERVICE FOR THIS LINE ITEM ON THE CARRIER CLAIM (NON-DMERC).</t>
  </si>
  <si>
    <t>ExplanationOfBenefit.item.extension.where(url='https://bluebutton.cms.gov/fhir/StructureDefinition/CLM-PRVDR-TYPE-CD').value.code</t>
  </si>
  <si>
    <t>5</t>
  </si>
  <si>
    <t>Still used to populate the qualification.</t>
  </si>
  <si>
    <t>CLM_RNDRG_PRVDR_TYPE_CD</t>
  </si>
  <si>
    <t>https://bluebutton.cms.gov/fhir/CodeSystem/CLM-PRVDR-TYPE-CD</t>
  </si>
  <si>
    <t>['CARR_LINE_PRVDR_TYPE_CD']</t>
  </si>
  <si>
    <t>Claim Payment Denial Code</t>
  </si>
  <si>
    <t>REASONS FOR DENYING PAYMENT TO CARRIERS.</t>
  </si>
  <si>
    <t>ExplanationOfBenefit.supportingInfo.where(category.coding.where(system='https://bluebutton.cms.gov/fhir/CodeSystem/Supporting-Information').exists() and category.coding.where(code='CLM_CARR_PMT_DNL_CD').exists()).code.coding.code</t>
  </si>
  <si>
    <t>8</t>
  </si>
  <si>
    <t>V2_MDCR_CLM_PRFNL</t>
  </si>
  <si>
    <t>CLM_CARR_PMT_DNL_CD</t>
  </si>
  <si>
    <t>https://bluebutton.cms.gov/fhir/CodeSystem/CLM-CARR-PMT-DNL-CD</t>
  </si>
  <si>
    <t>['CCLF5.CLM_CARR_PMT_DNL_CD', 'CCLF6.CLM_CARR_PMT_DNL_CD']</t>
  </si>
  <si>
    <t>['CARR_CLM_PMT_DNL_CD']</t>
  </si>
  <si>
    <t>Carrier Primary Payer Paid Amount</t>
  </si>
  <si>
    <t>ExplanationOfBenefit.adjudication.where(category.coding.where(system='https://bluebutton.cms.gov/fhir/CodeSystem/Adjudication').exists() and category.coding.where(code='CLM_MDCR_PRFNL_PRMRY_PYR_AMT').exists()).amount.value</t>
  </si>
  <si>
    <t>CLM_MDCR_PRFNL_PRMRY_PYR_AMT</t>
  </si>
  <si>
    <t>['CARR_CLM_PRMRY_PYR_PD_AMT']</t>
  </si>
  <si>
    <t>Provider Assignement Indicator</t>
  </si>
  <si>
    <t>A SWITCH INDICATING WHETHER OR NOT THE PROVIDER ACCEPTS ASSIGNMENT FOR THE NONINSTITUTIONAL CLAIM. [NCH]</t>
  </si>
  <si>
    <t>ExplanationOfBenefit.supportingInfo.where(category.coding.where(system='https://bluebutton.cms.gov/fhir/CodeSystem/Supporting-Information').exists() and category.coding.where(code='CLM_MDCR_PRFNL_PRVDR_ASGNMT_SW').exists()).code.coding.code</t>
  </si>
  <si>
    <t>CLM_MDCR_PRFNL_PRVDR_ASGNMT_SW</t>
  </si>
  <si>
    <t>['CARR_CLM_PRVDR_ASGNMT_IND_SW']</t>
  </si>
  <si>
    <t>Clinical Trial Number</t>
  </si>
  <si>
    <t>EFFECTIVE SEPTEMBER 1, 2008 WITH THE IMPLEMENTATION OF CR#3, THE NUMBER USED TO IDENTIFY ALL ITEMS AND SERVICES PROVIDED TO A BENEFICIARY DURING THEIR PARTICIPATION IN A CLINICAL TRIAL. (FROM NCH CLAIM CLINICAL TRIAL NUMBER)</t>
  </si>
  <si>
    <t>ExplanationOfBenefit.supportingInfo.where(category.coding.where(system='https://bluebutton.cms.gov/fhir/CodeSystem/Supporting-Information').exists() and category.coding.where(code='CLM_CLNCL_TRIL_NUM').exists()).code.coding.code</t>
  </si>
  <si>
    <t>CLM_CLNCL_TRIL_NUM</t>
  </si>
  <si>
    <t>['CLM_CLNCL_TRIL_NUM']</t>
  </si>
  <si>
    <t>Hematocrit/Hemoglobin Result Number</t>
  </si>
  <si>
    <t>The hematocrit or hemoglobin result value for the claim line.</t>
  </si>
  <si>
    <t>ExplanationOfBenefit.contained.where(id = %root.supportingInfo.valueReference.reference.substring(1)).value</t>
  </si>
  <si>
    <t>1.11</t>
  </si>
  <si>
    <t>V2_MDCR_CLM_LINE_PRFNL</t>
  </si>
  <si>
    <t>CLM_LINE_HCT_HGB_RSLT_NUM</t>
  </si>
  <si>
    <t>['LINE_HCT_HGB_RSLT_NUM']</t>
  </si>
  <si>
    <t>Hematocrit/Hemoglobin Type Code</t>
  </si>
  <si>
    <t>Code indicating if the result is for hematocrit or hemoglobin.</t>
  </si>
  <si>
    <t>ExplanationOfBenefit.contained.where(id = %root.supportingInfo.valueReference.reference.substring(1)).code.coding</t>
  </si>
  <si>
    <t>{'system': 'http://loinc.org', 'code': '718-7'}</t>
  </si>
  <si>
    <t>CLM_LINE_HCT_HGB_TYPE_CD</t>
  </si>
  <si>
    <t>https://bluebutton.cms.gov/fhir/CodeSystem/CLM-LINE-HCT-HGB-TYPE-CD</t>
  </si>
  <si>
    <t>['LINE_HCT_HGB_TYPE_CD']</t>
  </si>
  <si>
    <t>Carrier Clinical Lab Number</t>
  </si>
  <si>
    <t>The clinical laboratory identifier for the carrier claim line.</t>
  </si>
  <si>
    <t>ExplanationOfBenefit.contained.where(id = %root.supportingInfo.valueReference.reference.substring(1)).performer.identifier.value</t>
  </si>
  <si>
    <t>11D1343434</t>
  </si>
  <si>
    <t>CLM_LINE_CARR_CLNCL_LAB_NUM</t>
  </si>
  <si>
    <t>['CARR_LINE_CLIA_LAB_NUM']</t>
  </si>
  <si>
    <t>Line Primary Payer Paid Amount</t>
  </si>
  <si>
    <t>LINE BENEFICIARY PRIMARY PAYER PAID AMOUNT</t>
  </si>
  <si>
    <t>ExplanationOfBenefit.item.adjudication.where(category.coding.where(system='https://bluebutton.cms.gov/fhir/CodeSystem/Adjudication') and category.coding.where(code='CLM_BENE_PRMRY_PYR_PD_AMT')).amount.value</t>
  </si>
  <si>
    <t>CLM_BENE_PRMRY_PYR_PD_AMT</t>
  </si>
  <si>
    <t>['LINE_BENE_PRMRY_PYR_PD_AMT']</t>
  </si>
  <si>
    <t>Carrier MTUS Indicator Code</t>
  </si>
  <si>
    <t>1) CODE INDICATING THE UNITS ASSOCIATED WITH SERVICES NEEDING UNIT REPORTING ON THE LINE ITEM FOR THE CARRIER CLAIM (NON-DMERC). [NCH]    2) PRIOR TO VERSION H THIS FIELD WAS NAMED: CWFB_DME_MTUS_IND_CD. [NCH]</t>
  </si>
  <si>
    <t>ExplanationOfBenefit.item.extension.where(url='https://bluebutton.cms.gov/fhir/StructureDefinition/CLM-MTUS-IND-CD').value.code</t>
  </si>
  <si>
    <t>CLM_MTUS_IND_CD</t>
  </si>
  <si>
    <t>https://bluebutton.cms.gov/fhir/CodeSystem/CLM-MTUS-IND-CD</t>
  </si>
  <si>
    <t>['CARR_LINE_MTUS_CD', 'DMERC_LINE_MTUS_CD']</t>
  </si>
  <si>
    <t>Carrier MTUS Count</t>
  </si>
  <si>
    <t>(1) THE COUNT OF THE TOTAL UNITS ASSOCIATED WITH SERVICES NEEDING UNIT REPORTING SUCH AS TRANSPORTATION, MILES, ANESTHESIA TIME UNITS, NUMBER OF SERVICES, VOLUME OF OXYGEN OR BLOOD UNITS.  THIS IS A LINE ITEM FIELD ON THE CARRIER CLAIM (NON-DMERC) AND IS USED FOR BOTH ALLOWED AND DENIED SERVICES.  NOTE:  FOR ANESTHESIA (MTUS INDICATOR = 2) THIS FIELD SHOULD BE REPORTED IN TIME UNIT INTERVALS, I.E. 15 MINUTE INTERALS OR FRACTION THEREOF. IT APPEARS THAT SOME CARRIERS ARE REPORTING MINUTES INSTEAD OF TIME UNITS.[NCH]  (2) EFFECTIVE WITH NCH VERSION G, THE COUNT OF THE TOTAL UNITS ASSOCIATED WITH THE DMERC LINE ITEM SERVICE NEEDING UNIT REPORTING, INCLUDING NUMBER OF SERVICES, VOLUME OF OXYGEN AND DRUG DOSE. [NCH]</t>
  </si>
  <si>
    <t>ExplanationOfBenefit.item.extension.where(url='https://bluebutton.cms.gov/fhir/StructureDefinition/CLM-LINE-PRFNL-MTUS-CNT').value</t>
  </si>
  <si>
    <t>For processing claims, this is not populated. Refer to CLM_LINE.CLM_LINE_SRVC_UNIT_QTY for the line item service unit quantity.</t>
  </si>
  <si>
    <t>CLM_LINE_PRFNL_MTUS_CNT</t>
  </si>
  <si>
    <t>['CARR_LINE_MTUS_CNT', 'DMERC_LINE_MTUS_CNT']</t>
  </si>
  <si>
    <t>Line Pricing Locality Code</t>
  </si>
  <si>
    <t>CODE DENOTING THE CARRIER-SPECIFIC LOCALITY USED FOR PRICING THE SERVICE FOR THIS LINE ITEM ON THE CARRIER CLAIM (NON-DMERC). [NCH]</t>
  </si>
  <si>
    <t>ExplanationOfBenefit.item.extension.where(url='https://bluebutton.cms.gov/fhir/StructureDefinition/CLM-PRCNG-LCLTY-CD').value.code</t>
  </si>
  <si>
    <t>42</t>
  </si>
  <si>
    <t>CLM_PRCNG_LCLTY_CD</t>
  </si>
  <si>
    <t>https://bluebutton.cms.gov/fhir/CodeSystem/CLM-PRCNG-LCLTY-CD</t>
  </si>
  <si>
    <t>['CARR_LINE_PRCNG_LCLTY_CD', 'DMERC_LINE_PRCNG_STATE_CD']</t>
  </si>
  <si>
    <t>Reduced Payment Physician Assistant Code</t>
  </si>
  <si>
    <t>EFFECTIVE 1/92, IDENTIFICATION OF CLAIMS THAT HAVE BEEN PAID A REDUCED FEE SCHEDULE AMOUNT (65%, 75% OR 85%) BECAUSE A PHYSICIANS ASSISTANT PERFORMED THE SERVICES.</t>
  </si>
  <si>
    <t>ExplanationOfBenefit.item.extension.where(url='https://bluebutton.cms.gov/fhir/StructureDefinition/CLM-PHYSN-ASTNT-CD').value.code</t>
  </si>
  <si>
    <t>CLM_PHYSN_ASTNT_CD</t>
  </si>
  <si>
    <t>https://bluebutton.cms.gov/fhir/CodeSystem/CLM-PHYSN-ASTNT-CD</t>
  </si>
  <si>
    <t>['CARR_LINE_RDCD_PMT_PHYS_ASTN_C']</t>
  </si>
  <si>
    <t>HPSA Scarcity Code</t>
  </si>
  <si>
    <t>A CODE USED TO TRACK THE HEALTH PROFESSIONAL SHORTAGE AREA (HPSA) AND PHYSICIAN SCARCITY (PSA) RELATED BONUS PAYMENTS ON PART B PROFESSIONAL CLAIMS.    REFERENCE TABLE: CLM_CARR_HPSA_SCRCTY_CD</t>
  </si>
  <si>
    <t>ExplanationOfBenefit.item.extension.where(url='https://bluebutton.cms.gov/fhir/StructureDefinition/CLM-LINE-CARR-HPSA-SCRCTY-CD').value.code</t>
  </si>
  <si>
    <t>CLM_LINE_CARR_HPSA_SCRCTY_CD</t>
  </si>
  <si>
    <t>https://bluebutton.cms.gov/fhir/CodeSystem/CLM-LINE-CARR-HPSA-SCRCTY-CD</t>
  </si>
  <si>
    <t>['CCLFB.CLM_LINE_CARR_HPSA_SCRCTY_CD']</t>
  </si>
  <si>
    <t>['HPSA_SCRCTY_IND_CD']</t>
  </si>
  <si>
    <t>Line Primary Payer Code</t>
  </si>
  <si>
    <t>A CODE IDENTIFYING THE COVERAGE TYPE OF THE PRIMARY PAYER WHEN MEDICARE IS THE SECONDARY PAYER AT THE CLAIM LINE AS DEFINED BY THE COMMON WORKING FILE (CWF).    REFERENCE TABLE: CLM_PRMRY_PYR_CD</t>
  </si>
  <si>
    <t>ExplanationOfBenefit.item.extension.where(url='https://bluebutton.cms.gov/fhir/StructureDefinition/CLM-PRMRY-PYR-CD').value.code</t>
  </si>
  <si>
    <t>H</t>
  </si>
  <si>
    <t>CLM_PRMRY_PYR_CD</t>
  </si>
  <si>
    <t>https://bluebutton.cms.gov/fhir/CodeSystem/CLM-PRMRY-PYR-CD</t>
  </si>
  <si>
    <t>['CCLF5.CLM_LINE_PRMRY_PYR_CD', 'CCLF6.CLM_PRMRY_PYR_CD']</t>
  </si>
  <si>
    <t>['LINE_BENE_PRMRY_PYR_CD']</t>
  </si>
  <si>
    <t>CMS Service Type Code</t>
  </si>
  <si>
    <t>TYPE OF SERVICE AS DEFINED IN THE HCFA MEDICARE CARRIER MANUAL, FOR THIS LINE ITEM ON THE NON-INSTITUTIONAL CLAIM. (NCH)</t>
  </si>
  <si>
    <t>ExplanationOfBenefit.item.extension.where(url='https://bluebutton.cms.gov/fhir/StructureDefinition/CLM-FED-TYPE-SRVC-CD').value.code</t>
  </si>
  <si>
    <t>D</t>
  </si>
  <si>
    <t>CLM_FED_TYPE_SRVC_CD</t>
  </si>
  <si>
    <t>https://bluebutton.cms.gov/fhir/CodeSystem/CLM-FED-TYPE-SRVC-CD</t>
  </si>
  <si>
    <t>['CCLF5.CLM_FED_TYPE_SRVC_CD', 'CCLF6.CLM_FED_TYPE_SRVC_CD']</t>
  </si>
  <si>
    <t>['LINE_CMS_TYPE_SRVC_CD']</t>
  </si>
  <si>
    <t>Payment Code</t>
  </si>
  <si>
    <t>THE CODE INDICATING THAT THE AMOUNT SHOWN IN THE PAYMENT FIELD ON THE NON-INSTITUTIONAL LINE ITEM REPRESENTS EITHER 80% OR 100% OF THE ALLOWED CHARGES LESS ANY DEDUCTIBLE, OR 100% LIMITATION OF LIABILITY ONLY.</t>
  </si>
  <si>
    <t>ExplanationOfBenefit.item.extension.where(url='https://bluebutton.cms.gov/fhir/StructureDefinition/CLM-PMT-80-100-CD').value.code</t>
  </si>
  <si>
    <t>CLM_PMT_80_100_CD</t>
  </si>
  <si>
    <t>https://bluebutton.cms.gov/fhir/CodeSystem/CLM-PMT-80-100-CD</t>
  </si>
  <si>
    <t>['LINE_PMT_80_100_CD']</t>
  </si>
  <si>
    <t>Processing Indicator Code</t>
  </si>
  <si>
    <t>THE CODE INDICATING THE REASON A LINE ITEM ON THE NONINSTITUTIONAL CLAIM WAS ALLOWED OR DENIED.  NOTE2:  EFFECTIVE 4/1/02, THIS FIELD WAS EXPANDED TO TWO BYTES TO ACCOMMODATE NEW VALUES. THE NCH NEARLINE FILE DID NOT EXPAND THE CURRENT 1-BYTE FIELD BUT INSTITUTED A CROSSWALK OF THE 2-BYTE FIELD TO THE 1-BYTE CHARACTER VALUE. SEE TABLE OF CODE FOR THE CROSSWALK. [NCH]</t>
  </si>
  <si>
    <t>ExplanationOfBenefit.item.extension.where(url='https://bluebutton.cms.gov/fhir/StructureDefinition/CLM-PRCSG-IND-CD').value.code</t>
  </si>
  <si>
    <t>CLM_PRCSG_IND_CD</t>
  </si>
  <si>
    <t>https://bluebutton.cms.gov/fhir/CodeSystem/CLM-PRCSG-IND-CD</t>
  </si>
  <si>
    <t>['CCLF5.CLM_PRCSG_IND_CD', 'CCLF6.CLM_PRCSG_IND_CD']</t>
  </si>
  <si>
    <t>['LINE_PRCSG_IND_CD']</t>
  </si>
  <si>
    <t>Service Deductible Code</t>
  </si>
  <si>
    <t>A VALUE IDENTIFYING WHETHER A SERVICE LINE IS SUBJECT TO THE DEDUCTIBLE.    REFERENCE TABLE: CLM_SRVC_DDCTBL_SW</t>
  </si>
  <si>
    <t>ExplanationOfBenefit.item.extension.where(url='https://bluebutton.cms.gov/fhir/StructureDefinition/CLM-SRVC-DDCTBL-SW').value.code</t>
  </si>
  <si>
    <t>CLM_SRVC_DDCTBL_SW</t>
  </si>
  <si>
    <t>https://bluebutton.cms.gov/fhir/CodeSystem/CLM-SRVC-DDCTBL-SW</t>
  </si>
  <si>
    <t>['LINE_SERVICE_DEDUCTIBLE']</t>
  </si>
  <si>
    <t>Provider Speciality Code</t>
  </si>
  <si>
    <t>A CODE IDENTIFYING THE CENTERS FOR MEDICARE AND MEDICAID SERVICES (CMS) SPECIALTY OF A PROVIDER OR SUPPLIER.  FOR EXAMPLE:  11 = INTERNAL MEDICINE  49 = AMBULATORY SURGICAL CENTER    REFERENCE TABLE: CLM_PRVDR_SPCLTY_CD</t>
  </si>
  <si>
    <t>ExplanationOfBenefit.item.extension.where(url='https://bluebutton.cms.gov/fhir/StructureDefinition/CLM-PRVDR-SPCLTY-CD').value.code</t>
  </si>
  <si>
    <t>11</t>
  </si>
  <si>
    <t>CLM_PRVDR_SPCLTY_CD</t>
  </si>
  <si>
    <t>https://bluebutton.cms.gov/fhir/CodeSystem/CLM-PRVDR-SPCLTY-CD</t>
  </si>
  <si>
    <t>['CCLF5.CLM_PRVDR_SPCLTY_CD']</t>
  </si>
  <si>
    <t>['PRVDR_SPCLTY']</t>
  </si>
  <si>
    <t>Screen Savings Amount</t>
  </si>
  <si>
    <t>PRIOR TO NCH VERSION H THIS FIELD WAS NAMED: CWFB_DME_SCRN_SVGS_AMT AND THE FIELD SIZE WAS S9(5)V99. [NCH]</t>
  </si>
  <si>
    <t>['DME']</t>
  </si>
  <si>
    <t>ExplanationOfBenefit.item.adjudication.where(category.coding.where(system='https://bluebutton.cms.gov/fhir/CodeSystem/Adjudication') and category.coding.where(code='CLM_LINE_DMERC_SCRN_SVGS_AMT')).amount.value</t>
  </si>
  <si>
    <t>CLM_LINE_DMERC_SCRN_SVGS_AMT</t>
  </si>
  <si>
    <t>['DMERC_LINE_SCRN_SVGS_AMT']</t>
  </si>
  <si>
    <t>Supplier Type Code</t>
  </si>
  <si>
    <t>THE TYPE OF SUPPLIER.</t>
  </si>
  <si>
    <t>CLM_SUPLR_TYPE_CD</t>
  </si>
  <si>
    <t>['DMERC_LINE_SUPPLR_TYPE_CD']</t>
  </si>
  <si>
    <t>Purchase Price Amount</t>
  </si>
  <si>
    <t>EFFECTIVE 5/92, THE AMOUNT REPRESENTING THE LOWER OF FEE SCHEDULE FOR PURCHASE OF NEW OR USED DME, OR ACTUAL CHARGE.  IN CASE OF RENTAL DME, THIS AMOUNT REPRESENTS THE PURCHASE CAP; RENTAL PAYMENTS CAN ONLY BE MADE UNTIL THE CAP IS MET.  THIS LINE ITEM FIELD IS APPLICABLE TO NON-INSTITUTIONAL CLAIMS INVOLVING DME, PROSTHETIC, ORTHOTIC AND SUPPLY ITEMS, IMMUNOSUPPRESSIVE DRUGS, PEN, ESRD AND OXYGEN ITEMS REFERRED TO AS DMEPOS. [NCH]</t>
  </si>
  <si>
    <t>ExplanationOfBenefit.item.adjudication.where(category.coding.where(system='https://bluebutton.cms.gov/fhir/CodeSystem/Adjudication') and category.coding.where(code='CLM_LINE_PRFNL_DME_PRICE_AMT')).amount.value</t>
  </si>
  <si>
    <t>CLM_LINE_PRFNL_DME_PRICE_AMT</t>
  </si>
  <si>
    <t>['LINE_DME_PRCHS_PRICE_AMT']</t>
  </si>
  <si>
    <t>['CCLF1.CLM_ADJSMT_TYPE_CD', 'CCLF5.CLM_ADJSMT_TYPE_CD', 'CCLF6.CLM_ADJSMT_TYPE_CD']</t>
  </si>
  <si>
    <t>Beneficiary Interest Paid Amount</t>
  </si>
  <si>
    <t>AN AMOUNT IDENTIFYING THE INTEREST PAID TO A BENEFICIARY DUE TO A DELAY IN THE PAYMENT OF A CLAIM.</t>
  </si>
  <si>
    <t>ExplanationOfBenefit.adjudication.where(category.coding.where(system='https://bluebutton.cms.gov/fhir/CodeSystem/Adjudication') and category.coding.where(code='CLM_BENE_INTRST_PD_AMT')).amount.value</t>
  </si>
  <si>
    <t>CLM_BENE_INTRST_PD_AMT</t>
  </si>
  <si>
    <t>['MCS', 'VMS']</t>
  </si>
  <si>
    <t>Beneficiary Coinsurance Amount</t>
  </si>
  <si>
    <t>AN AMOUNT IDENTIFYING THE PORTION OF COST THAT IS THE RESPONSIBILITY OF A BENEFICIARY FOR PAYMENT.</t>
  </si>
  <si>
    <t>ExplanationOfBenefit.adjudication.where(category.coding.where(system='https://bluebutton.cms.gov/fhir/CodeSystem/Adjudication') and category.coding.where(code='CLM_BENE_PMT_COINSRNC_AMT')).amount.value</t>
  </si>
  <si>
    <t>CLM_BENE_PMT_COINSRNC_AMT</t>
  </si>
  <si>
    <t>['MCS']</t>
  </si>
  <si>
    <t>Blood Charge Amount</t>
  </si>
  <si>
    <t>AN AMOUNT IDENTIFYING THE TOTAL CHARGE FOR BLOOD USAGE.</t>
  </si>
  <si>
    <t>ExplanationOfBenefit.adjudication.where(category.coding.where(system='https://bluebutton.cms.gov/fhir/CodeSystem/Adjudication') and category.coding.where(code='CLM_BLOOD_CHRG_AMT')).amount.value</t>
  </si>
  <si>
    <t>This field is not populated as a discrete field in processing institutional claims. To calculate the total blood charge amount, sum the submitted charge amounts line items with revenue center codes 038X.</t>
  </si>
  <si>
    <t>CLM_BLOOD_CHRG_AMT</t>
  </si>
  <si>
    <t>Blood Noncovered Charge Amount</t>
  </si>
  <si>
    <t>AN AMOUNT IDENTIFYING THE TOTAL NON-COVERED CHARGE FOR BLOOD USAGE.</t>
  </si>
  <si>
    <t>ExplanationOfBenefit.adjudication.where(category.coding.where(system='https://bluebutton.cms.gov/fhir/CodeSystem/Adjudication') and category.coding.where(code='CLM_BLOOD_NCVRD_CHRG_AMT')).amount.value</t>
  </si>
  <si>
    <t>This field is not populated as a discrete field in processing institutional claims. To calculate the noncovered blood charge amount, sum the noncovered charge amounts line items with revenue center codes 038X.</t>
  </si>
  <si>
    <t>CLM_BLOOD_NCVRD_CHRG_AMT</t>
  </si>
  <si>
    <t>Coordination of Benefits Patient Responsibility Amount</t>
  </si>
  <si>
    <t>AN AMOUNT IDENTIFYING A BENEFICIARYS PATIENT RESPONSIBILITY ON A COORDINATION OF BENEFITS (COB) CLAIM.</t>
  </si>
  <si>
    <t>ExplanationOfBenefit.adjudication.where(category.coding.where(system='https://bluebutton.cms.gov/fhir/CodeSystem/Adjudication') and category.coding.where(code='CLM_COB_PTNT_RESP_AMT')).amount.value</t>
  </si>
  <si>
    <t>CLM_COB_PTNT_RESP_AMT</t>
  </si>
  <si>
    <t>['FISS']</t>
  </si>
  <si>
    <t>Other Third Party Payer Paid Amount</t>
  </si>
  <si>
    <t>ExplanationOfBenefit.adjudication.where(category.coding.where(system='https://bluebutton.cms.gov/fhir/CodeSystem/Adjudication') and category.coding.where(code='CLM_OTHR_TP_PD_AMT')).amount.value</t>
  </si>
  <si>
    <t>['VMS']</t>
  </si>
  <si>
    <t>Provider Interest Paid Amount</t>
  </si>
  <si>
    <t>AN AMOUNT IDENTIFYING THE INTEREST PAID TO A PROVIDER DUE TO THE LATE PROCESSING OF A CLAIM.</t>
  </si>
  <si>
    <t>ExplanationOfBenefit.adjudication.where(category.coding.where(system='https://bluebutton.cms.gov/fhir/CodeSystem/Adjudication') and category.coding.where(code='CLM_PRVDR_INTRST_PD_AMT')).amount.value</t>
  </si>
  <si>
    <t>CLM_PRVDR_INTRST_PD_AMT</t>
  </si>
  <si>
    <t>Provider Obligation To Accept as Full Amount</t>
  </si>
  <si>
    <t>AN AMOUNT IDENTIFYING A PROVIDER'S OBLIGATED TO ACCEPT IN FULL (OTAF) FROM MEDICARE AS PAYMENT. A BENEFICIARY CANNOT BE CHARGED FOR ANY AMOUNT EXCEEDING THE OTAF TOTAL.</t>
  </si>
  <si>
    <t>ExplanationOfBenefit.adjudication.where(category.coding.where(system='https://bluebutton.cms.gov/fhir/CodeSystem/Adjudication') and category.coding.where(code='CLM_PRVDR_OTAF_AMT')).amount.value</t>
  </si>
  <si>
    <t>CLM_PRVDR_OTAF_AMT</t>
  </si>
  <si>
    <t>Remaining Amount to Provider</t>
  </si>
  <si>
    <t>AN AMOUNT IDENTIFYING HOW MUCH PAYMENT IS STILL OWED TO A PROVIDER MINUS PRIOR PAYMENTS, OFFSETS, OR ADJUSTMENTS ON A CLAIM.</t>
  </si>
  <si>
    <t>['DME', 'HHA', 'Outpatient']</t>
  </si>
  <si>
    <t>ExplanationOfBenefit.adjudication.where(category.coding.where(system='https://bluebutton.cms.gov/fhir/CodeSystem/Adjudication') and category.coding.where(code='CLM_PRVDR_RMNG_DUE_AMT')).amount.value</t>
  </si>
  <si>
    <t>CLM_PRVDR_RMNG_DUE_AMT</t>
  </si>
  <si>
    <t>['FISS', 'VMS']</t>
  </si>
  <si>
    <t>Total Contractual Amount Discrepancy</t>
  </si>
  <si>
    <t>AN AMOUNT IDENTIFYING THE PORTION OF A CHARGE THAT EXCEEDS THE MAXIMUM ALLOWABLE AMOUNT OR A CONTRACTED FEE ARRANGEMENT FOR A SERVICE.</t>
  </si>
  <si>
    <t>ExplanationOfBenefit.adjudication.where(category.coding.where(system='https://bluebutton.cms.gov/fhir/CodeSystem/Adjudication') and category.coding.where(code='CLM_TOT_CNTRCTL_AMT')).amount.value</t>
  </si>
  <si>
    <t>CLM_TOT_CNTRCTL_AMT</t>
  </si>
  <si>
    <t>Final Standardized Payment Amount</t>
  </si>
  <si>
    <t>A MONETARY AMOUNT SIGNIFYING THE FINAL STANDARD PAYMENT AMOUNT FOR HOSPITALS PAID UNDER THE INPATIENT PROSPECTIVE PAYMENT SYSTEMS (IPPS), MARYLAND HOSPITALS, AND HOME HEALTH AGENCIES.</t>
  </si>
  <si>
    <t>['HHA', 'Inpatient']</t>
  </si>
  <si>
    <t>ExplanationOfBenefit.adjudication.where(category.coding.where(system='https://bluebutton.cms.gov/fhir/CodeSystem/Adjudication') and category.coding.where(code='CLM_FINL_STDZD_PYMT_AMT')).amount.value</t>
  </si>
  <si>
    <t>CLM_FINL_STDZD_PYMT_AMT</t>
  </si>
  <si>
    <t>Hospital Acquired Condition Reduction Amount</t>
  </si>
  <si>
    <t>SECTION 3008 OF THE PATIENT PROTECTION AND AFFORDABLE CARE ACT (ACA) ESTABLISHED THE HOSPITAL-ACQUIRED CONDITION (HAC) REDUCTION PROGRAM .  EFFECTIVE BEGINNING FISCAL YEAR (FY) 2015 (DISCHARGES BEGINNING ON OCTOBER 1, 2014), THE HAC REDUCTION PROGRAM REQUIRES THE SECRETARY OF THE DEPARTMENT OF HEALTH AND HUMAN SERVICES TO ADJUST PAYMENTS TO APPLICABLE HOSPITALS THAT RANK IN THE WORST-PERFORMING QUARTILE OF ALL SUBSECTION (D) HOSPITALS WITH RESPECT TO RISK-ADJUSTED HAC QUALITY MEASURES. THESE HOSPITALS WILL HAVE THEIR PAYMENTS REDUCED TO 99 PERCENT OF WHAT WOULD OTHERWISE HAVE BEEN PAID FOR SUCH DISCHARGES.</t>
  </si>
  <si>
    <t>ExplanationOfBenefit.adjudication.where(category.coding.where(system='https://bluebutton.cms.gov/fhir/CodeSystem/Adjudication') and category.coding.where(code='CLM_HAC_RDCTN_PYMT_AMT')).amount.value</t>
  </si>
  <si>
    <t>CLM_HAC_RDCTN_PYMT_AMT</t>
  </si>
  <si>
    <t>Blended Payment Amount</t>
  </si>
  <si>
    <t>FOR HOSPITALS PARTICIPATING IN BPCI MODEL 1, THIS FIELD REPRESENTS THE AMOUNT THE CLAIM WAS REDUCED BY.</t>
  </si>
  <si>
    <t>ExplanationOfBenefit.adjudication.where(category.coding.where(system='https://bluebutton.cms.gov/fhir/CodeSystem/Adjudication') and category.coding.where(code='CLM_HIPPS_MODEL_BNDLD_PYMT_AMT')).amount.value</t>
  </si>
  <si>
    <t>CLM_HIPPS_MODEL_BNDLD_PMT_AMT</t>
  </si>
  <si>
    <t>Readmission Reduction Amount</t>
  </si>
  <si>
    <t>THIS FIELD REPRESENTS THE HOSPITAL READMISSION REDUCTION PROGRAM AMOUNT.  THIS IS A REDUCTION TO THE CLAIM FOR READMISSIONS.</t>
  </si>
  <si>
    <t>ExplanationOfBenefit.adjudication.where(category.coding.where(system='https://bluebutton.cms.gov/fhir/CodeSystem/Adjudication') and category.coding.where(code='CLM_HIPPS_READMSN_RDCTN_AMT')).amount.value</t>
  </si>
  <si>
    <t>CLM_HIPPS_READMSN_RDCTN_AMT</t>
  </si>
  <si>
    <t>HIPPS Value Based Purchasing Amount</t>
  </si>
  <si>
    <t>THIS FIELD REPRESENTS THE HOSPITAL VALUE BASED PURCHASING AMOUNT.  THIS COULD BE AN ADDITIONAL PAYMENT ON THE CLAIM OR A REDUCTION, DEPENDING ON THE HOSPITALÒ² SCORE.</t>
  </si>
  <si>
    <t>ExplanationOfBenefit.adjudication.where(category.coding.where(system='https://bluebutton.cms.gov/fhir/CodeSystem/Adjudication') and category.coding.where(code='CLM_HIPPS_VBP_AMT')).amount.value</t>
  </si>
  <si>
    <t>CLM_HIPPS_VBP_AMT</t>
  </si>
  <si>
    <t>Low Volume Payment Amount</t>
  </si>
  <si>
    <t>A PAYMENT ADJUSTMENT GIVEN TO HOSPITALS TO ACCOUNT FOR THE HIGHER COSTS PER DISCHARGE FOR Ó¬OW-INCOME HOSPITALSÔ UNDER INPATIENT PROSPECTIVE PAYMENT SYSTEM (IPPS)</t>
  </si>
  <si>
    <t>ExplanationOfBenefit.adjudication.where(category.coding.where(system='https://bluebutton.cms.gov/fhir/CodeSystem/Adjudication') and category.coding.where(code='CLM_INSTNL_LOW_VOL_PMT_AMT')).amount.value</t>
  </si>
  <si>
    <t>CLM_INSTNL_LOW_VOL_PMT_AMT</t>
  </si>
  <si>
    <t>First Year Rate Amount</t>
  </si>
  <si>
    <t>EFFECTIVE WITH NCH VERSION H, THE CHARGE FOR EACH DAY OF COINSURANCE DURING THE FIRST YEAR IN THE BILL (USED FOR INTERNAL CWFMQA EDITING PURPOSES).  NOTE:  BEGINNING WITH NCH WEEKLY PROCESS DATE 10/3/97 THIS FIELD WAS POPULATED WITH DATA. CLAIMS PROCESSED PRIOR TO 10/3/97 SHOULD CONTAIN ZEROES IN THIS NCH FIELD.  EXCEPTION: DURING THE NCH VERSION H CONVERSION INVALID DATA MAY HAVE BEEN POPULATED FOR PRIOR PERIODS.   DISREGARD ANY DATA PRESENT IN THIS FIELD ON CLAIMS WITH NCH WEEKLY PROCESS DATE EARLIER THAN 10/3/97. [NCH]</t>
  </si>
  <si>
    <t>ExplanationOfBenefit.adjudication.where(category.coding.where(system='https://bluebutton.cms.gov/fhir/CodeSystem/Adjudication') and category.coding.where(code='CLM_MDCR_IP_1ST_YR_RATE_AMT')).amount.value</t>
  </si>
  <si>
    <t>CLM_MDCR_IP_1ST_YR_RATE_AMT</t>
  </si>
  <si>
    <t>Second Year Rate Amount</t>
  </si>
  <si>
    <t>EFFECTIVE WITH NCH VERSION H, THE CHARGE FOR EACH DAY OF COINSURANCE DURING THE SECOND YEAR IN A BILL WHICH SPANS TWO YEARS (USED FOR INTERNAL CWFMQA EDITING PURPOSES.)   NOTE:  BEGINNING WITH NCH WEEKLY PROCESS DATE 10/3/97 THIS FIELD WAS POPULATED WITH DATA. CLAIMS PROCESSED PRIOR TO 10/3/97 SHOULD CONTAIN ZEROES IN THIS FIELD.  EXCEPTION: DURING THE NCH VERSION H CONVERSION INVALID DATA MAY HAVE BEEN POPULATED FOR PRIOR PERIODS.  DISREGARD ANY DATA IN THIS FIELD ON CLAIMS WITH NCH WEEKLY PROCESS DATE EARLIER THAN 10/3/97. [NCH]</t>
  </si>
  <si>
    <t>ExplanationOfBenefit.adjudication.where(category.coding.where(system='https://bluebutton.cms.gov/fhir/CodeSystem/Adjudication') and category.coding.where(code='CLM_MDCR_IP_SCND_YR_RATE_AMT')).amount.value</t>
  </si>
  <si>
    <t>CLM_MDCR_IP_SCND_YR_RATE_AMT</t>
  </si>
  <si>
    <t>Maryland Waiver Standardized Amount</t>
  </si>
  <si>
    <t>THE STANDARDIZED AMOUNT PRODUCED BY PRICER FOR A INPATIENT PROSPECTIVE PAYMENT SYSTEM (IPPS) AND MARYLAND WAIVER HOSPITAL CLAIM.</t>
  </si>
  <si>
    <t>ExplanationOfBenefit.adjudication.where(category.coding.where(system='https://bluebutton.cms.gov/fhir/CodeSystem/Adjudication') and category.coding.where(code='CLM_PPS_MD_WVR_STDZD_VAL_AMT')).amount.value</t>
  </si>
  <si>
    <t>CLM_PPS_MD_WVR_STDZD_VAL_AMT</t>
  </si>
  <si>
    <t>Site-Neutral Cost-Based Payment Amount</t>
  </si>
  <si>
    <t>SECTION 1206(A) OF PUBLIC LAW 113Ö¶7 AMENDED SECTION 1886(M) OF THE ACT TO ESTABLISH PATIENT-LEVEL CRITERIA FOR PAYMENTS UNDER THE LTCH PPS (LONG TERM CARE HOSPITAL PROSPECTIVE PAYMENT SYSTEM) FOR IMPLEMENTATION BEGINNING FOR COST REPORTING PERIODS BEGINNING ON OR AFTER OCTOBER 1, 2015.  THE Ó²ITE NEUTRALÔ COST AMOUNT WILL BE PAID FOR PATIENTS DISCHARGED FROM THE LTCH THAT DO NOT MEET  CRITERIA TO BE PAID AT THE STANDARD LTCH PPS AMOUNT.</t>
  </si>
  <si>
    <t>ExplanationOfBenefit.adjudication.where(category.coding.where(system='https://bluebutton.cms.gov/fhir/CodeSystem/Adjudication') and category.coding.where(code='CLM_SITE_NTRL_CST_BSD_PYMT_AMT')).amount.value</t>
  </si>
  <si>
    <t>CLM_SITE_NTRL_CST_BSD_PYMT_AMT</t>
  </si>
  <si>
    <t>Site-Neutral IPPS Payment Amount</t>
  </si>
  <si>
    <t>SECTION 1206(A) OF PUBLIC LAW 113Ö¶7 AMENDED SECTION 1886(M) OF THE ACT TO ESTABLISH PATIENT-LEVEL CRITERIA FOR PAYMENTS UNDER THE LTCH PPS (LONG TERM CARE HOSPITAL PROSPECTIVE PAYMENT SYSTEM) FOR IMPLEMENTATION BEGINNING FOR COST REPORTING PERIODS BEGINNING ON OR AFTER OCTOBER 1, 2015.  THE Ó²ITE NEUTRALÔ INPATIENT PROSEPECTIVE PAYMENT SYSTEM (IPPS) AMOUNT WILL BE PAID FOR PATIENTS DISCHARGED FROM THE LTCH THAT DO NOT MEET  CRITERIA TO BE PAID AT THE STANDARD LTCH PPS AMOUNT.</t>
  </si>
  <si>
    <t>ExplanationOfBenefit.adjudication.where(category.coding.where(system='https://bluebutton.cms.gov/fhir/CodeSystem/Adjudication') and category.coding.where(code='CLM_SITE_NTRL_IP_PPS_PYMT_AMT')).amount.value</t>
  </si>
  <si>
    <t>CLM_SITE_NTRL_IP_PPS_PYMT_AMT</t>
  </si>
  <si>
    <t>Short Stay Outlier Payment Amount</t>
  </si>
  <si>
    <t>THIS IS THE SHORT STAY OUTLIER (SSO) PAYMENT AMOUNT.</t>
  </si>
  <si>
    <t>ExplanationOfBenefit.adjudication.where(category.coding.where(system='https://bluebutton.cms.gov/fhir/CodeSystem/Adjudication') and category.coding.where(code='CLM_SS_OUTLIER_STD_PYMT_AMT')).amount.value</t>
  </si>
  <si>
    <t>CLM_SS_OUTLIER_STD_PYMT_AMT</t>
  </si>
  <si>
    <t>Provider Account Receivable Offset Amount</t>
  </si>
  <si>
    <t>ExplanationOfBenefit.adjudication.where(category.coding.where(system='https://bluebutton.cms.gov/fhir/CodeSystem/Adjudication') and category.coding.where(code='CLM_PRVDR_ACNT_RCVBL_OFST_AMT')).amount.value</t>
  </si>
  <si>
    <t>CLM_PRVDR_ACNT_RCVBL_OFST_AMT</t>
  </si>
  <si>
    <t>['Carrier', 'DME', 'Outpatient', 'SNF']</t>
  </si>
  <si>
    <t>ExplanationOfBenefit.item.adjudication.where(category.coding.where(system='https://bluebutton.cms.gov/fhir/CodeSystem/Adjudication') and category.coding.where(code='CLM_LINE_OTAF_AMT')).amount.value</t>
  </si>
  <si>
    <t>CLM_LINE_OTAF_AMT</t>
  </si>
  <si>
    <t>Claim Related Condition Code</t>
  </si>
  <si>
    <t>A RELATED CONDITION THAT HAS WITHIN SOME SET OF CLAIMS.</t>
  </si>
  <si>
    <t>ExplanationOfBenefit.supportingInfo.where(code.coding.system='https://bluebutton.cms.gov/fhir/CodeSystem/CLM-RLT-COND-CD').code.coding.code</t>
  </si>
  <si>
    <t>One signature can correspond to many codes.</t>
  </si>
  <si>
    <t>CLM_RLT_COND_SGNTR_SK</t>
  </si>
  <si>
    <t>https://bluebutton.cms.gov/fhir/CodeSystem/CLM-RLT-COND-CD</t>
  </si>
  <si>
    <t>['CCLFA.CLM_RLT_COND_CD']</t>
  </si>
  <si>
    <t>Add On Payment Amount</t>
  </si>
  <si>
    <t>THE NEW PATIENT OR INITIAL MEDICARE VISIT ADD-ON PAYMENT AMOUNT OF THE FEDERALLY QUALIFIED HEALTH CENTER (FQHC) CLAIM.</t>
  </si>
  <si>
    <t>ExplanationOfBenefit.item.adjudication.where(category.coding.where(system='https://bluebutton.cms.gov/fhir/CodeSystem/Adjudication') and category.coding.where(code='CLM_LINE_ADD_ON_PYMT_AMT')).amount.value</t>
  </si>
  <si>
    <t>CLM_LINE_ADD_ON_PYMT_AMT</t>
  </si>
  <si>
    <t>Non-EHR Reduction Amount</t>
  </si>
  <si>
    <t>THIS FIELD IDENTIFIES THE PAYMENT REDUCTION AMOUNT FOR HOSPITALS THAT ARE NOT MEANINGFUL USERS OF CERTIFIED ELECTRONIC HEALTH RECORD (EHR) TECHNOLOGY.</t>
  </si>
  <si>
    <t>ExplanationOfBenefit.item.adjudication.where(category.coding.where(system='https://bluebutton.cms.gov/fhir/CodeSystem/Adjudication') and category.coding.where(code='CLM_LINE_NON_EHR_RDCTN_AMT')).amount.value</t>
  </si>
  <si>
    <t>CLM_LINE_NON_EHR_RDCTN_AMT</t>
  </si>
  <si>
    <t>Transitional Drug Add-On Payment Adjustment</t>
  </si>
  <si>
    <t>A MONETARY AMOUNT SIGNIFYING THE TRANSITIONAL DRUG ADD-ON PAYMENT ADJUSTMENT (TDAPA) FOR END STAGE RENAL DISEASE (ESRD) CLAIMS FOR INJECTABLE, INTRAVENOUS, AND ORAL CALCIMIMETICS WHEN REPORTED WITH AN AX MODIFIER.</t>
  </si>
  <si>
    <t>ExplanationOfBenefit.item.adjudication.where(category.coding.where(system='https://bluebutton.cms.gov/fhir/CodeSystem/Adjudication') and category.coding.where(code='CLM_REV_CNTR_TDAPA_AMT')).amount.value</t>
  </si>
  <si>
    <t>CLM_REV_CNTR_TDAPA_AMT</t>
  </si>
  <si>
    <t>Carrier Clinical Charge Amount</t>
  </si>
  <si>
    <t>FEE SCHEDULE CHARGE AMOUNT APPLIED FOR THE LINE ITEM CLINICAL LABORATORY SERVICE ON THE CARRIER CLAIM (NON-DMERC).</t>
  </si>
  <si>
    <t>ExplanationOfBenefit.item.adjudication.where(category.coding.where(system='https://bluebutton.cms.gov/fhir/CodeSystem/Adjudication') and category.coding.where(code='CLM_LINE_CARR_CLNCL_CHRG_AMT')).amount.value</t>
  </si>
  <si>
    <t>CLM_LINE_CARR_CLNCL_CHRG_AMT</t>
  </si>
  <si>
    <t>Therapy Amount Applied to Limit</t>
  </si>
  <si>
    <t>FOR TYPE OF SERVICE PSYCHIATRIC, OCCUPATIONAL THERAPY OR PHYSICAL THERAPY, THE AMOUNT OF ALLOWED CHARGES APPLIED TOWARD THE LIMIT CAP FOR THIS LINE ITEM SERVICE ON THE NONINSTITUTIONAL CLAIM. [NCH]</t>
  </si>
  <si>
    <t>ExplanationOfBenefit.item.adjudication.where(category.coding.where(system='https://bluebutton.cms.gov/fhir/CodeSystem/Adjudication') and category.coding.where(code='CLM_LINE_CARR_PSYCH_OT_LMT_AMT')).amount.value</t>
  </si>
  <si>
    <t>CLM_LINE_CARR_PSYCH_OT_LMT_AMT</t>
  </si>
  <si>
    <t>Professional Interest Amount</t>
  </si>
  <si>
    <t>AMOUNT OF INTEREST TO BE PAID FOR THIS LINE ITEM SERVICE ON THE NON-INSTITUTIONAL CLAIM.  **NOTE: THIS IS NOT INCLUDED IN THE LINE ITEM NCH PAYMENT (REIMBURSEMENT) AMOUNT.</t>
  </si>
  <si>
    <t>ExplanationOfBenefit.item.adjudication.where(category.coding.where(system='https://bluebutton.cms.gov/fhir/CodeSystem/Adjudication') and category.coding.where(code='CLM_LINE_PRFNL_INTRST_AMT')).amount.value</t>
  </si>
  <si>
    <t>CLM_LINE_PRFNL_INTRST_AMT</t>
  </si>
  <si>
    <t>Line Primary Payer Allowed Amount</t>
  </si>
  <si>
    <t>LINE PRIMARY PAYER ALLOWED CHARGE AMOUNT</t>
  </si>
  <si>
    <t>ExplanationOfBenefit.item.adjudication.where(category.coding.where(system='https://bluebutton.cms.gov/fhir/CodeSystem/Adjudication') and category.coding.where(code='CLM_MDCR_PRMRY_PYR_ALOWD_AMT')).amount.value</t>
  </si>
  <si>
    <t>CLM_MDCR_PRMRY_PYR_ALOWD_AMT</t>
  </si>
  <si>
    <t>Patient Status Code</t>
  </si>
  <si>
    <t>EFFECTIVE WITH NCH VERSION H, THE CODE ON AN INPATIENT/SNF AND HOSPICE CLAIM, INDICATING WHETHER THE BENEFICIARY WAS DISCHARGED, DIED OR STILL A PATIENT (USED FOR INTERNAL CWFMQA EDITING PURPOSES.)  NOTE:  DURING THE NCH VERSION H CONVERSION THIS FIELD WAS POPULATED THROUGHOUT HISTORY (BACK TO SERVICE YEAR 1991). [NCH]</t>
  </si>
  <si>
    <t>['Hospice', 'Inpatient']</t>
  </si>
  <si>
    <t>ExplanationOfBenefit.supportingInfo.where(code.coding.system='https://bluebutton.cms.gov/fhir/CodeSystem/CLM-MDCR-NCH-PTNT-STUS-IND-CD').code.coding.code</t>
  </si>
  <si>
    <t>CLM_MDCR_NCH_PTNT_STUS_IND_CD</t>
  </si>
  <si>
    <t>https://bluebutton.cms.gov/fhir/CodeSystem/CLM-MDCR-NCH-PTNT-STUS-IND-CD</t>
  </si>
  <si>
    <t>Claim Line Prior Authorization Unique Tracking Number (Adjudicated)</t>
  </si>
  <si>
    <t>The unique tracking number for the prior authorization associated with this claim line from claims.</t>
  </si>
  <si>
    <t>['Carrier', 'DME', 'HHA', 'Inpatient', 'Inpatient', 'Outpatient']</t>
  </si>
  <si>
    <t>ExplanationOfBenefit.supportingInfo.where(category.coding.where(system='https://bluebutton.cms.gov/fhir/CodeSystem/Supporting-Information').exists() and category.coding.where(code='CLM_LINE_PMD_UNIQ_TRKNG_NUM').exists()).value</t>
  </si>
  <si>
    <t>ALA00000047747</t>
  </si>
  <si>
    <t>CLM_LINE_PMD_UNIQ_TRKNG_NUM</t>
  </si>
  <si>
    <t>Claim Line Prior Authorization Unique Tracking Number (Partially Adjudicated)</t>
  </si>
  <si>
    <t>A NUMBER IDENTIFYING A UNIQUE TRACKING NUMBER (UTN) FOR A PRIOR AUTHORIZATION (PA).</t>
  </si>
  <si>
    <t>['Carrier', 'DME', 'Hospice', 'Inpatient', 'Inpatient', 'Outpatient', 'SNF']</t>
  </si>
  <si>
    <t>V2_MDCR_CLM_LINE_DCMTN</t>
  </si>
  <si>
    <t>CLM_LINE_PA_UNIQ_TRKNG_NUM</t>
  </si>
  <si>
    <t>['FISS', 'MCS']</t>
  </si>
  <si>
    <t>Claim Benefit Enhancement Code 1</t>
  </si>
  <si>
    <t>A CODE IDENTIFYING THE FIRST APPLICABLE ACCOUNTABLE CARE ORGANIZATION (ACO) BENEFIT ENHANCEMENT INDICATOR (BEI) THAT APPLIED TO THE CLAIM.</t>
  </si>
  <si>
    <t>ExplanationOfBenefit.supportingInfo.where(category.coding.where(system='https://bluebutton.cms.gov/fhir/CodeSystem/Supporting-Information').exists() and category.coding.where(code='CLM_BNFT_ENHNCMT_CD').exists()).value</t>
  </si>
  <si>
    <t>There may be multiple. These are unordered, but there are a maximum of 5 per institutional claim header, and 5 per professional claim line.</t>
  </si>
  <si>
    <t>CLM_BNFT_ENHNCMT_1_CD</t>
  </si>
  <si>
    <t>['CCLFA.CLM_DEMO_1ST_NUM']</t>
  </si>
  <si>
    <t>Claim Benefit Enhancement Code 2</t>
  </si>
  <si>
    <t>A CODE IDENTIFYING THE SECOND APPLICABLE ACCOUNTABLE CARE ORGANIZATION (ACO) BENEFIT ENHANCEMENT INDICATOR (BEI) THAT APPLIED TO THE CLAIM.</t>
  </si>
  <si>
    <t>CLM_BNFT_ENHNCMT_2_CD</t>
  </si>
  <si>
    <t>['CCLFA.CLM_DEMO_2ND_NUM']</t>
  </si>
  <si>
    <t>Claim Benefit Enhancement Code 3</t>
  </si>
  <si>
    <t>A CODE IDENTIFYING THE THIRD APPLICABLE ACCOUNTABLE CARE ORGANIZATION (ACO) BENEFIT ENHANCEMENT INDICATOR (BEI) THAT APPLIED TO THE CLAIM.</t>
  </si>
  <si>
    <t>CLM_BNFT_ENHNCMT_3_CD</t>
  </si>
  <si>
    <t>['CCLFA.CLM_DEMO_3RD_NUM']</t>
  </si>
  <si>
    <t>Claim Benefit Enhancement Code 4</t>
  </si>
  <si>
    <t>A CODE IDENTIFYING THE FOURTH APPLICABLE ACCOUNTABLE CARE ORGANIZATION (ACO) BENEFIT ENHANCEMENT INDICATOR (BEI) THAT APPLIED TO THE CLAIM.</t>
  </si>
  <si>
    <t>CLM_BNFT_ENHNCMT_4_CD</t>
  </si>
  <si>
    <t>['CCLFA.CLM_DEMO_4TH_NUM']</t>
  </si>
  <si>
    <t>Claim Benefit Enhancement Code 5</t>
  </si>
  <si>
    <t>A CODE IDENTIFYING THE FIFTH APPLICABLE ACCOUNTABLE CARE ORGANIZATION (ACO) BENEFIT ENHANCEMENT INDICATOR (BEI) THAT APPLIED TO THE CLAIM.</t>
  </si>
  <si>
    <t>CLM_BNFT_ENHNCMT_5_CD</t>
  </si>
  <si>
    <t>['CCLFA.CLM_DEMO_5TH_NUM']</t>
  </si>
  <si>
    <t>Claim NGACO PBPMT Switch</t>
  </si>
  <si>
    <t>AN INTEGRATED DATA REPOSITORY (IDR) DERIVED INDICATOR BASED ON THE CLAIM NEXT GENERATION (NG) ACCOUNTABLE CARE ORGANIZATION (ACO) INDICATOR CODE FROM CWF (COMMON WORKING FILE), WHICH IDENTIFIES THE BENEFIT ENHANCEMENT INDICATOR THAT IDENTIFIES CLAIMS THAT QUALIFY FOR SPECIFIC CLAIM PROCESSING EDITS.  VALID VALUES:  Y = IF ANY OF THE FIVE CLAIM NG ACO INDICATOR CODES CONTAINS Ñ°Ò (POPULATION BASED PAYMENTS (PBP)).  N = IF Ñ¶4Ò OR Ñ¸9Ò IS FOUND IN ANY OF THE CLM_DCMTN.CLM_DEMO_1ST_NUM THROUGH CLM_DCMTN.CLM_DEMO_5TH_NUM COLUMNS AND NONE OF THE FIVE NG ACO INDICATOR CODES CONTAINS Ñ°Ò®  NULL = DEFAULT</t>
  </si>
  <si>
    <t>ExplanationOfBenefit.supportingInfo.where(category.coding.where(system='https://bluebutton.cms.gov/fhir/CodeSystem/Supporting-Information').exists() and category.coding.where(code='CLM_NGACO_PBPMT_SW').exists()).value</t>
  </si>
  <si>
    <t>This field is deprecated in shared systems data. Its value can be derived as Y if any CLM_BNFT_ENHNCMT_X_CD  = 1, else N.</t>
  </si>
  <si>
    <t>CLM_NGACO_PBPMT_SW</t>
  </si>
  <si>
    <t>['CCLFA.CLM_NGACO_PBPMT_SW']</t>
  </si>
  <si>
    <t>Claim NGACO Post Discharge HCBS Switch</t>
  </si>
  <si>
    <t>AN INTEGRATED DATA REPOSITORY (IDR) DERIVED INDICATOR BASED ON THE CLAIM NEXT GENERATION (NG) ACCOUNTABLE CARE ORGANIZATION (ACO) INDICATOR CODE FROM CWF (COMMON WORKING FILE), WHICH IDENTIFIES THE BENEFIT ENHANCEMENT INDICATOR THAT IDENTIFIES CLAIMS THAT QUALIFY FOR SPECIFIC CLAIM PROCESSING EDITS.  VALID VALUES:  Y = IF ANY OF THE FIVE CLAIM NG ACO INDICATOR CODES CONTAINS Ñ²Ò (POST DISCHARGE HOME VISITS).  N = IF Ñ¶4Ò OR Ñ¸9Ò IS FOUND IN ANY OF THE CLM_DCMTN.CLM_DEMO_1ST_NUM THROUGH CLM_DCMTN.CLM_DEMO_5TH_NUM COLUMNS AND NONE OF THE FIVE NG ACO INDICATOR CODES CONTAINS Ñ²Ò®  NULL = DEFAULT</t>
  </si>
  <si>
    <t>ExplanationOfBenefit.supportingInfo.where(category.coding.where(system='https://bluebutton.cms.gov/fhir/CodeSystem/Supporting-Information').exists() and category.coding.where(code='CLM_NGACO_PDSCHRG_HCBS_SW').exists()).value</t>
  </si>
  <si>
    <t>This field is deprecated in shared systems data. Its value can be derived as Y if any CLM_BNFT_ENHNCMT_X_CD  = 3, else N.</t>
  </si>
  <si>
    <t>CLM_NGACO_PDSCHRG_HCBS_SW</t>
  </si>
  <si>
    <t>['CCLFA.CLM_NGACO_PDSCHRG_HCBS_SW']</t>
  </si>
  <si>
    <t>Claim NGACO SNF Waiver Switch</t>
  </si>
  <si>
    <t>AN INTEGRATED DATA REPOSITORY (IDR) DERIVED INDICATOR BASED ON THE CLAIM NEXT GENERATION (NG) ACCOUNTABLE CARE ORGANIZATION (ACO) INDICATOR CODE FROM CWF (COMMON WORKING FILE), WHICH IDENTIFIES THE BENEFIT ENHANCEMENT INDICATOR THAT IDENTIFIES CLAIMS THAT QUALIFY FOR SPECIFIC CLAIM PROCESSING EDITS.  VALID VALUES:  Y = IF ANY OF THE FIVE CLAIM NG ACO INDICATOR CODES CONTAINS Ñ´Ò (3-DAY SNF WAIVER).  N = IF Ñ¶4Ò OR Ñ¸9Ò IS FOUND IN ANY OF THE CLM_DCMTN.CLM_DEMO_1ST_NUM THROUGH CLM_DCMTN.CLM_DEMO_5TH_NUM COLUMNS AND NONE OF THE FIVE NG ACO INDICATOR CODES CONTAINS Ñ´Ò®  NULL = DEFAULT</t>
  </si>
  <si>
    <t>ExplanationOfBenefit.supportingInfo.where(category.coding.where(system='https://bluebutton.cms.gov/fhir/CodeSystem/Supporting-Information').exists() and category.coding.where(code='CLM_NGACO_SNF_WVR_SW').exists()).value</t>
  </si>
  <si>
    <t>This field is deprecated in shared systems data. Its value can be derived as Y if any CLM_BNFT_ENHNCMT_X_CD  = 4, else N.</t>
  </si>
  <si>
    <t>CLM_NGACO_SNF_WVR_SW</t>
  </si>
  <si>
    <t>['CCLFA.CLM_NGACO_SNF_WVR_SW']</t>
  </si>
  <si>
    <t>Claim NGACO Telehealth Switch</t>
  </si>
  <si>
    <t>AN INTEGRATED DATA REPOSITORY (IDR) DERIVED INDICATOR BASED ON THE CLAIM NEXT GENERATION (NG) ACCOUNTABLE CARE ORGANIZATION (ACO) INDICATOR CODE FROM CWF (COMMON WORKING FILE), WHICH IDENTIFIES THE BENEFIT ENHANCEMENT INDICATOR THAT IDENTIFIES CLAIMS THAT QUALIFY FOR SPECIFIC CLAIM PROCESSING EDITS.  VALID VALUES:  Y = IF ANY OF THE FIVE CLAIM NG ACO INDICATOR CODES CONTAINS Ñ²Ò (TELEHEALTH).  N = IF Ñ¶4Ò OR Ñ¸9Ò IS FOUND IN ANY OF THE CLM_DCMTN.CLM_DEMO_1ST_NUM THROUGH CLM_DCMTN.CLM_DEMO_5TH_NUM COLUMNS AND NONE OF THE FIVE NG ACO INDICATOR CODES CONTAINS Ñ²Ò®  NULL = DEFAULT</t>
  </si>
  <si>
    <t>ExplanationOfBenefit.supportingInfo.where(category.coding.where(system='https://bluebutton.cms.gov/fhir/CodeSystem/Supporting-Information').exists() and category.coding.where(code='CLM_NGACO_TLHLTH_SW').exists()).value</t>
  </si>
  <si>
    <t>This field is deprecated in shared systems data. Its value can be derived as Y if any CLM_BNFT_ENHNCMT_X_CD  = 2, else N.</t>
  </si>
  <si>
    <t>CLM_NGACO_TLHLTH_SW</t>
  </si>
  <si>
    <t>['CCLFA.CLM_NGACO_TLHLTH_SW']</t>
  </si>
  <si>
    <t>Claim NGACO Capitation Switch</t>
  </si>
  <si>
    <t>AN INTEGRATED DATA REPOSITORY (IDR) DERIVED INDICATOR BASED ON THE CLAIM NEXT GENERATION (NG) ACCOUNTABLE CARE ORGANIZATION (ACO) INDICATOR CODE FROM CWF (COMMON WORKING FILE), WHICH IDENTIFIES THE BENEFIT ENHANCEMENT INDICATOR THAT IDENTIFIES CLAIMS THAT QUALIFY FOR SPECIFIC CLAIM PROCESSING EDITS.  VALID VALUES:  Y = IF ANY OF THE FIVE CLAIM NG ACO INDICATOR CODES CONTAINS Ñ´Ò (CAPITATION).  N = IF Ñ¶4Ò OR Ñ¸9Ò IS FOUND IN ANY OF THE CLM_DCMTN.CLM_DEMO_1ST_NUM THROUGH CLM_DCMTN.CLM_DEMO_5TH_NUM COLUMNS AND NONE OF THE FIVE NG ACO INDICATOR CODES CONTAINS Ñ´Ò®  NULL = DEFAULT</t>
  </si>
  <si>
    <t>ExplanationOfBenefit.supportingInfo.where(category.coding.where(system='https://bluebutton.cms.gov/fhir/CodeSystem/Supporting-Information').exists() and category.coding.where(code='CLM_NGACO_CPTATN_SW').exists()).value</t>
  </si>
  <si>
    <t>This field is deprecated in shared systems data. Its value can be derived as Y if any CLM_BNFT_ENHNCMT_X_CD  = 5, else N.</t>
  </si>
  <si>
    <t>CLM_NGACO_CPTATN_SW</t>
  </si>
  <si>
    <t>['CCLFA.CLM_NGACO_CPTATN_SW']</t>
  </si>
  <si>
    <t>Claim ACO Care Management HCBS Switch</t>
  </si>
  <si>
    <t>AN INTEGRATED DATA REPOSITORY (IDR) DERIVED INDICATOR BASED ON THE CLAIM LINE NEXT GENERATION (NG) ACCOUNTABLE CARE ORGANIZATION (ACO) INDICATOR CODE FROM CWF (COMMON WORKING FILE), WHICH IDENTIFIES THE BENEFIT ENHANCEMENT INDICATOR THAT IDENTIFIES CLAIMS THAT QUALIFY FOR SPECIFIC CLAIM PROCESSING EDITS.    VALID VALUES:    Y = IF ANY OF THE FIVE CLAIM LINE NG ACO INDICATOR CODES CONTAINS Ñ¶Ò (CARE MANAGEMENT HOME VISITS).    N = IF Ñ¶4Ò OR Ñ¸9Ò IS FOUND IN ANY OF THE CLM_DCMTN.CLM_DEMO_1ST_NUM THROUGH CLM_DCMTN.CLM_DEMO_5TH_NUM COLUMNS AND NONE OF THE FIVE NG ACO INDICATOR CODES CONTAINS Ñ¶Ò®    NULL = DEFAULT</t>
  </si>
  <si>
    <t>ExplanationOfBenefit.supportingInfo.where(category.coding.where(system='https://bluebutton.cms.gov/fhir/CodeSystem/Supporting-Information').exists() and category.coding.where(code='CLM_ACO_CARE_MGMT_HCBS_SW').exists()).value</t>
  </si>
  <si>
    <t>This field is deprecated in shared systems data. Its value can be derived as Y if any CLM_BNFT_ENHNCMT_X_CD  = 7, else N.</t>
  </si>
  <si>
    <t>CLM_ACO_CARE_MGMT_HCBS_SW</t>
  </si>
  <si>
    <t>['CCLFA.CLM_NGACO_CMG_WVR_SW']</t>
  </si>
  <si>
    <t>Claim Line NGACO PBPMT Switch</t>
  </si>
  <si>
    <t>AN INTEGRATED DATA REPOSITORY (IDR) DERIVED INDICATOR BASED ON THE CLAIM LINE NEXT GENERATION (NG) ACCOUNTABLE CARE ORGANIZATION (ACO) INDICATOR CODE FROM CWF (COMMON WORKING FILE), WHICH IDENTIFIES THE BENEFIT ENHANCEMENT INDICATOR THAT IDENTIFIES CLAIMS THAT QUALIFY FOR SPECIFIC CLAIM PROCESSING EDITS.  VALID VALUES:  Y = IF ANY OF THE FIVE CLAIM NG ACO INDICATOR CODES CONTAINS Ñ°Ò (POPULATION BASED PAYMENTS (PBP)).  N = IF Ñ¶4Ò OR Ñ¸9Ò IS FOUND IN ANY OF THE CLM_DCMTN.CLM_DEMO_1ST_NUM THROUGH CLM_DCMTN.CLM_DEMO_5TH_NUM COLUMNS AND NONE OF THE FIVE NG ACO INDICATOR CODES CONTAINS Ñ°Ò®  NULL = DEFAULT</t>
  </si>
  <si>
    <t>ExplanationOfBenefit.supportingInfo.where(category.coding.where(system='https://bluebutton.cms.gov/fhir/CodeSystem/Supporting-Information').exists() and category.coding.where(code='CLM_LINE_NGACO_PBPMT_SW').exists()).value</t>
  </si>
  <si>
    <t>This field is deprecated in shared systems data. Its value can be derived as Y if any CLM_LINE_BNFT_ENHNCMT_X_CD = 1, else N.</t>
  </si>
  <si>
    <t>CLM_LINE_NGACO_PBPMT_SW</t>
  </si>
  <si>
    <t>['CCLFB.CLM_LINE_NGACO_PBPMT_SW']</t>
  </si>
  <si>
    <t>Claim Line NGACO Post Discharge HCBS Switch</t>
  </si>
  <si>
    <t>AN INTEGRATED DATA REPOSITORY (IDR) DERIVED INDICATOR BASED ON THE CLAIM LINE NEXT GENERATION (NG) ACCOUNTABLE CARE ORGANIZATION (ACO) INDICATOR CODE FROM CWF (COMMON WORKING FILE), WHICH IDENTIFIES THE BENEFIT ENHANCEMENT INDICATOR THAT IDENTIFIES CLAIMS THAT QUALIFY FOR SPECIFIC CLAIM PROCESSING EDITS.  VALID VALUES:  Y = IF ANY OF THE FIVE CLAIM NG ACO INDICATOR CODES CONTAINS Ñ²Ò (POST DISCHARGE HOME VISITS).  N = IF Ñ¶4Ò OR Ñ¸9Ò IS FOUND IN ANY OF THE CLM_DCMTN.CLM_DEMO_1ST_NUM THROUGH CLM_DCMTN.CLM_DEMO_5TH_NUM COLUMNS AND NONE OF THE FIVE NG ACO INDICATOR CODES CONTAINS Ñ²Ò®  NULL = DEFAULT</t>
  </si>
  <si>
    <t>ExplanationOfBenefit.supportingInfo.where(category.coding.where(system='https://bluebutton.cms.gov/fhir/CodeSystem/Supporting-Information').exists() and category.coding.where(code='CLM_LINE_NGACO_PDSCHRG_HCBS_SW').exists()).value</t>
  </si>
  <si>
    <t>This field is deprecated in shared systems data. Its value can be derived as Y if any CLM_LINE_BNFT_ENHNCMT_X_CD = 3, else N.</t>
  </si>
  <si>
    <t>CLM_LINE_NGACO_PDSCHRG_HCBS_SW</t>
  </si>
  <si>
    <t>['CCLFB.CLM_LINE_NGACO_PDSCHRG_HCBS_SW']</t>
  </si>
  <si>
    <t>Claim Line NGACO SNF Waiver Switch</t>
  </si>
  <si>
    <t>AN INTEGRATED DATA REPOSITORY (IDR) DERIVED INDICATOR BASED ON THE CLAIM LINE NEXT GENERATION (NG) ACCOUNTABLE CARE ORGANIZATION (ACO) INDICATOR CODE FROM CWF (COMMON WORKING FILE), WHICH IDENTIFIES THE BENEFIT ENHANCEMENT INDICATOR THAT IDENTIFIES CLAIMS THAT QUALIFY FOR SPECIFIC CLAIM PROCESSING EDITS.  VALID VALUES:  Y = IF ANY OF THE FIVE CLAIM NG ACO INDICATOR CODES CONTAINS Ñ´Ò (3-DAY SNF WAIVER).  N = IF Ñ¶4Ò OR Ñ¸9Ò IS FOUND IN ANY OF THE CLM_DCMTN.CLM_DEMO_1ST_NUM THROUGH CLM_DCMTN.CLM_DEMO_5TH_NUM COLUMNS AND NONE OF THE FIVE NG ACO INDICATOR CODES CONTAINS Ñ´Ò®  NULL = DEFAULT</t>
  </si>
  <si>
    <t>ExplanationOfBenefit.supportingInfo.where(category.coding.where(system='https://bluebutton.cms.gov/fhir/CodeSystem/Supporting-Information').exists() and category.coding.where(code='CLM_LINE_NGACO_SNF_WVR_SW').exists()).value</t>
  </si>
  <si>
    <t>This field is deprecated in shared systems data. Its value can be derived as Y if any CLM_LINE_BNFT_ENHNCMT_X_CD = 4, else N.</t>
  </si>
  <si>
    <t>CLM_LINE_NGACO_SNF_WVR_SW</t>
  </si>
  <si>
    <t>['CCLFB.CLM_LINE_NGACO_SNF_WVR_SW']</t>
  </si>
  <si>
    <t>Claim Line NGACO Telehealth Switch</t>
  </si>
  <si>
    <t>AN INTEGRATED DATA REPOSITORY (IDR) DERIVED INDICATOR BASED ON THE CLAIM LINE NEXT GENERATION (NG) ACCOUNTABLE CARE ORGANIZATION (ACO) INDICATOR CODE FROM CWF (COMMON WORKING FILE), WHICH IDENTIFIES THE BENEFIT ENHANCEMENT INDICATOR THAT IDENTIFIES CLAIMS THAT QUALIFY FOR SPECIFIC CLAIM PROCESSING EDITS.  VALID VALUES:  Y = IF ANY OF THE FIVE CLAIM NG ACO INDICATOR CODES CONTAINS Ñ²Ò (TELEHEALTH).  N = IF Ñ¶4Ò OR Ñ¸9Ò IS FOUND IN ANY OF THE CLM_DCMTN.CLM_DEMO_1ST_NUM THROUGH CLM_DCMTN.CLM_DEMO_5TH_NUM COLUMNS AND NONE OF THE FIVE NG ACO INDICATOR CODES CONTAINS Ñ²Ò®  NULL = DEFAULT</t>
  </si>
  <si>
    <t>ExplanationOfBenefit.supportingInfo.where(category.coding.where(system='https://bluebutton.cms.gov/fhir/CodeSystem/Supporting-Information').exists() and category.coding.where(code='CLM_LINE_NGACO_TLHLTH_SW').exists()).value</t>
  </si>
  <si>
    <t>This field is deprecated in shared systems data. Its value can be derived as Y if any CLM_LINE_BNFT_ENHNCMT_X_CD = 2, else N.</t>
  </si>
  <si>
    <t>CLM_LINE_NGACO_TLHLTH_SW</t>
  </si>
  <si>
    <t>['CCLFB.CLM_LINE_NGACO_TLHLTH_SW']</t>
  </si>
  <si>
    <t>Claim Line NGACO Capitation Switch</t>
  </si>
  <si>
    <t>AN INTEGRATED DATA REPOSITORY (IDR) DERIVED INDICATOR BASED ON THE CLAIM LINE NEXT GENERATION (NG) ACCOUNTABLE CARE ORGANIZATION (ACO) INDICATOR CODE FROM CWF (COMMON WORKING FILE), WHICH IDENTIFIES THE BENEFIT ENHANCEMENT INDICATOR THAT IDENTIFIES CLAIMS THAT QUALIFY FOR SPECIFIC CLAIM PROCESSING EDITS.  VALID VALUES:  Y = IF ANY OF THE FIVE CLAIM NG ACO INDICATOR CODES CONTAINS Ñ´Ò (CAPITATION).  N = IF Ñ¶4Ò OR Ñ¸9Ò IS FOUND IN ANY OF THE CLM_DCMTN.CLM_DEMO_1ST_NUM THROUGH CLM_DCMTN.CLM_DEMO_5TH_NUM COLUMNS AND NONE OF THE FIVE NG ACO INDICATOR CODES CONTAINS Ñ´Ò®  NULL = DEFAULT</t>
  </si>
  <si>
    <t>ExplanationOfBenefit.supportingInfo.where(category.coding.where(system='https://bluebutton.cms.gov/fhir/CodeSystem/Supporting-Information').exists() and category.coding.where(code='CLM_LINE_NGACO_CPTATN_SW').exists()).value</t>
  </si>
  <si>
    <t>This field is deprecated in shared systems data. Its value can be derived as Y if any CLM_LINE_BNFT_ENHNCMT_X_CD = 5, else N.</t>
  </si>
  <si>
    <t>CLM_LINE_NGACO_CPTATN_SW</t>
  </si>
  <si>
    <t>['CCLFB.CLM_LINE_NGACO_CPTATN_SW']</t>
  </si>
  <si>
    <t>Claim Line ACO Care Management HCBS Switch</t>
  </si>
  <si>
    <t>AN INTEGRATED DATA REPOSITORY (IDR) DERIVED INDICATOR BASED ON THE CLAIM LINE NEXT GENERATION (NG) ACCOUNTABLE CARE ORGANIZATION (ACO) INDICATOR CODE FROM CWF (COMMON WORKING FILE), WHICH IDENTIFIES THE BENEFIT ENHANCEMENT INDICATOR THAT IDENTIFIES CLAIMS THAT QUALIFY FOR SPECIFIC CLAIM PROCESSING EDITS.  VALID VALUES:  Y = IF ANY OF THE FIVE CLAIM LINE NG ACO INDICATOR CODES CONTAINS Ñ¶Ò (CARE MANAGEMENT HOME VISITS).  N = IF Ñ¶4Ò OR Ñ¸9Ò IS FOUND IN ANY OF THE CLM_DCMTN.CLM_DEMO_1ST_NUM THROUGH CLM_DCMTN.CLM_DEMO_5TH_NUM COLUMNS AND NONE OF THE FIVE NG ACO INDICATOR CODES CONTAINS Ñ¶Ò®  NULL = DEFAULT</t>
  </si>
  <si>
    <t>ExplanationOfBenefit.supportingInfo.where(category.coding.where(system='https://bluebutton.cms.gov/fhir/CodeSystem/Supporting-Information').exists() and category.coding.where(code='CLM_LINE_ACO_CARE_MGMT_HCBS_SW').exists()).value</t>
  </si>
  <si>
    <t>This field is deprecated in shared systems data. Its value can be derived as Y if any CLM_LINE_BNFT_ENHNCMT_X_CD = 7, else N.</t>
  </si>
  <si>
    <t>CLM_LINE_ACO_CARE_MGMT_HCBS_SW</t>
  </si>
  <si>
    <t>['CCLFB.CLM_NGACO_CMG_WVR_SW']</t>
  </si>
  <si>
    <t>Claim Line Benefit Enhancement 1 Code</t>
  </si>
  <si>
    <t>A CODE IDENTIFYING THE FIRST APPLICABLE ACCOUNTABLE CARE ORGANIZATION (ACO) BENEFIT ENHANCEMENT INDICATOR (BEI) THAT APPLIED TO THE CLAIM LINE.    REFERENCE TABLE:  CLM_BNFT_ENHNCMT_CD</t>
  </si>
  <si>
    <t>There may be multiple. These are unordered, but there are a maximum of 5 per institutional claim header, and 5 per professional claim line. The infoSequence element on the ExplanationOfBenefit.item can be used to determine which are relevant to a given claim line.</t>
  </si>
  <si>
    <t>CLM_LINE_BNFT_ENHNCMT_1_CD</t>
  </si>
  <si>
    <t>['CCLFB.CLM_DEMO_1ST_NUM']</t>
  </si>
  <si>
    <t>Claim Line Benefit Enhancement 2 Code</t>
  </si>
  <si>
    <t>A CODE IDENTIFYING THE SECOND APPLICABLE ACCOUNTABLE CARE ORGANIZATION (ACO) BENEFIT ENHANCEMENT INDICATOR (BEI) THAT APPLIED TO THE CLAIM LINE.    REFERENCE TABLE:  CLM_BNFT_ENHNCMT_CD</t>
  </si>
  <si>
    <t>CLM_LINE_BNFT_ENHNCMT_2_CD</t>
  </si>
  <si>
    <t>['CCLFB.CLM_DEMO_2ND_NUM']</t>
  </si>
  <si>
    <t>Claim Line Benefit Enhancement 3 Code</t>
  </si>
  <si>
    <t>A CODE IDENTIFYING THE THIRD APPLICABLE ACCOUNTABLE CARE ORGANIZATION (ACO) BENEFIT ENHANCEMENT INDICATOR (BEI) THAT APPLIED TO THE CLAIM LINE.    REFERENCE TABLE:  CLM_BNFT_ENHNCMT_CD</t>
  </si>
  <si>
    <t>CLM_LINE_BNFT_ENHNCMT_3_CD</t>
  </si>
  <si>
    <t>['CCLFB.CLM_DEMO_3RD_NUM']</t>
  </si>
  <si>
    <t>Claim Line Benefit Enhancement 4 Code</t>
  </si>
  <si>
    <t>A CODE IDENTIFYING THE FOURTH APPLICABLE ACCOUNTABLE CARE ORGANIZATION (ACO) BENEFIT ENHANCEMENT INDICATOR (BEI) THAT APPLIED TO THE CLAIM LINE.    REFERENCE TABLE:  CLM_BNFT_ENHNCMT_CD</t>
  </si>
  <si>
    <t>There may be multiple. These are unordered, but there are a maximum of 5 per institutional claim header, and 5 per professional claim line.The infoSequence element on the ExplanationOfBenefit.item can be used to determine which are relevant to a given claim line.</t>
  </si>
  <si>
    <t>CLM_LINE_BNFT_ENHNCMT_4_CD</t>
  </si>
  <si>
    <t>['CCLFB.CLM_DEMO_4TH_NUM']</t>
  </si>
  <si>
    <t>Claim Line Benefit Enhancement 5 Code</t>
  </si>
  <si>
    <t>A CODE IDENTIFYING THE FIFTH APPLICABLE ACCOUNTABLE CARE ORGANIZATION (ACO) BENEFIT ENHANCEMENT INDICATOR (BEI) THAT APPLIED TO THE CLAIM LINE.    REFERENCE TABLE:  CLM_BNFT_ENHNCMT_CD</t>
  </si>
  <si>
    <t>CLM_LINE_BNFT_ENHNCMT_5_CD</t>
  </si>
  <si>
    <t>['CCLFB.CLM_DEMO_5TH_NUM']</t>
  </si>
  <si>
    <t>State FIPS Code</t>
  </si>
  <si>
    <t>Identifies the state where the facility providing services is located.</t>
  </si>
  <si>
    <t>['DME', 'HHA', 'Hospice', 'Inpatient', 'Outpatient', 'SNF']</t>
  </si>
  <si>
    <t>ExplanationOfBenefit.supportingInfo.where(category.coding.where(system='https://bluebutton.cms.gov/fhir/CodeSystem/Supporting-Information').exists() and category.coding.where(code='PRVDR_FAC_FIPS_ST_CD').exists()).code</t>
  </si>
  <si>
    <t>{'coding': [{'system': 'https://bluebutton.cms.gov/fhir/CodeSystem/US-FIPS-STATE-CODES', 'code': '04'}]}</t>
  </si>
  <si>
    <t>The source column contains an SSA state code, which is converted to a FIPS state code in the output.</t>
  </si>
  <si>
    <t>GEO_BLG_SSA_STATE_CD</t>
  </si>
  <si>
    <t>['CCLF1.PRVDR_FAC_FIPS_ST_CD']</t>
  </si>
  <si>
    <t>Identifies the state that the provider providing the service is located in</t>
  </si>
  <si>
    <t>ExplanationOfBenefit.supportingInfo.where(category.coding.where(system='https://bluebutton.cms.gov/fhir/CodeSystem/Supporting-Information').exists() and category.coding.where(code='RNDRG_PRVDR_FIPS_ST_CD').exists()).code</t>
  </si>
  <si>
    <t>GEO_RNDRG_SSA_STATE_CD</t>
  </si>
  <si>
    <t>['CCLF5.RNDRG_PRVDR_FIPS_ST_CD']</t>
  </si>
  <si>
    <t>Beneficiary First Name</t>
  </si>
  <si>
    <t>A FIRST NAME FOR A MEDICARE BENEFICIARY.</t>
  </si>
  <si>
    <t>Patient</t>
  </si>
  <si>
    <t>Patient.name.given[0]</t>
  </si>
  <si>
    <t>Frankie</t>
  </si>
  <si>
    <t>V2_MDCR_BENE_HSTRY</t>
  </si>
  <si>
    <t>BENE_1ST_NAME</t>
  </si>
  <si>
    <t>['CCLF8.BENE_1ST_NAME']</t>
  </si>
  <si>
    <t>['BENE_GVN_NAME']</t>
  </si>
  <si>
    <t>Beneficiary Last Name</t>
  </si>
  <si>
    <t>A LAST NAME OR SURNAME, INCLUDING ANY FOLLOWING TITLES OR SUFFIXES, FOR A MEDICARE BENEFICIARY.</t>
  </si>
  <si>
    <t>Patient.name.family</t>
  </si>
  <si>
    <t>Sheep</t>
  </si>
  <si>
    <t>BENE_LAST_NAME</t>
  </si>
  <si>
    <t>['CCLF8.BENE_LAST_NAME']</t>
  </si>
  <si>
    <t>['BENE_SRNM_NAME']</t>
  </si>
  <si>
    <t>Beneficiary Middle Name</t>
  </si>
  <si>
    <t>THE FIRST INITIAL OF THE MEDICARE BENEFICIARYS MIDDLE NAME.</t>
  </si>
  <si>
    <t>Patient.name.given[1]</t>
  </si>
  <si>
    <t>Le Petit Prince</t>
  </si>
  <si>
    <t>BENE_MIDL_NAME</t>
  </si>
  <si>
    <t>['CCLF8.BENE_MIDL_NAME']</t>
  </si>
  <si>
    <t>['BENE_MDL_NAME']</t>
  </si>
  <si>
    <t>Beneficiary Date of Birth</t>
  </si>
  <si>
    <t>A DATE IDENTIFYING WHEN A BENEFICIARY IS BORN.</t>
  </si>
  <si>
    <t>Patient.birthDate</t>
  </si>
  <si>
    <t>1995-03-11</t>
  </si>
  <si>
    <t>BENE_BRTH_DT</t>
  </si>
  <si>
    <t>['CCLF8.BENE_DOB']</t>
  </si>
  <si>
    <t>['BENE_BIRTH_DT']</t>
  </si>
  <si>
    <t>Beneficiary Date of Death</t>
  </si>
  <si>
    <t>A DATE IDENTIFYING WHEN A BENEFICIARY DIED.</t>
  </si>
  <si>
    <t>Patient.deceasedDateTime</t>
  </si>
  <si>
    <t>2024-03-11</t>
  </si>
  <si>
    <t>BENE_DEATH_DT</t>
  </si>
  <si>
    <t>['CCLF8.BENE_DEATH_DT']</t>
  </si>
  <si>
    <t>['BENE_DEATH_DT']</t>
  </si>
  <si>
    <t>Current Patient FHIR ID</t>
  </si>
  <si>
    <t>AN INTEGRATED DATA REPOSITORY (IDR) DERIVED EFFECTIVE SURROGATE KEY THAT UNIQUELY IDENTIFIES A BENEFICIARY.  NOTE: BENE_XREF_EFCTV_SK REPRESENTS THE MOST CURRENT BENE_SK THAT IS IN EFFECT FOR THE BENEFICIARY. BENE_XREF_EFCTV_SK IS MORE CURRENT THAN BENE_SK AND BENE_XREF_SK ON THE BENE TABLE.</t>
  </si>
  <si>
    <t>iif(Patient.link.where(type = 'replaced-by').other.exists(),Patient.link.where(type = 'replaced-by').other.reference.substring(8),Patient.id)</t>
  </si>
  <si>
    <t>['123456789']</t>
  </si>
  <si>
    <t>BENE_XREF_EFCTV_SK</t>
  </si>
  <si>
    <t>Beneficiary Source Key List</t>
  </si>
  <si>
    <t>A list of all source keys for the beneficiary.</t>
  </si>
  <si>
    <t>Patient.link.other.display.union(Patient.id)</t>
  </si>
  <si>
    <t>Patient FHIR ID</t>
  </si>
  <si>
    <t>Patient.id</t>
  </si>
  <si>
    <t>Last Updated Time</t>
  </si>
  <si>
    <t>The time the Patient resource was last updated.</t>
  </si>
  <si>
    <t>Patient.meta.lastUpdated</t>
  </si>
  <si>
    <t>2020-01-07T03:02:28.000000Z</t>
  </si>
  <si>
    <t>USPS State Code</t>
  </si>
  <si>
    <t>A CODE IDENTIFYING THE TWO-CHARACTER ALPHABETIC ABBREVIATION FOR A STATE IN THE UNITED STATES AS DEFINED BY THE UNITED STATES POSTAL SERVICE (USPS).    REFERENCE TABLE: GEO_USPS_STATE_CD</t>
  </si>
  <si>
    <t>Patient.address.state</t>
  </si>
  <si>
    <t>TX</t>
  </si>
  <si>
    <t>GEO_USPS_STATE_CD</t>
  </si>
  <si>
    <t>['CCLF8.GEO_USPS_STATE_CD']</t>
  </si>
  <si>
    <t>['BENE_STATE_CD']</t>
  </si>
  <si>
    <t>Beneficiary Zip Code - First 5</t>
  </si>
  <si>
    <t>A FIVE-DIGIT ZIP CODE DEFINED BY THE UNITED STATES POSTAL SERVICE (USPS) THAT IDENTIFIES THE DESTINATION POST OFFICE OR DELIVERY AREA.     REFERENCE TABLE: GEO_ZIP5_CD</t>
  </si>
  <si>
    <t>Patient.address.postalCode</t>
  </si>
  <si>
    <t>77840</t>
  </si>
  <si>
    <t>GEO_ZIP5_CD</t>
  </si>
  <si>
    <t>['CCLF8.GEO_ZIP5_CD']</t>
  </si>
  <si>
    <t>['BENE_MLG_CNTCT_ZIP_CD']</t>
  </si>
  <si>
    <t>City Name</t>
  </si>
  <si>
    <t>A NAME OF THE CITY FOR A GIVEN ZIP CODE OF A MEDICARE BENEFICIARYS MAILING ADDRESS.    REFERENCE TABLE: GEO_ZIP5_CD</t>
  </si>
  <si>
    <t>Patient.address.city</t>
  </si>
  <si>
    <t>College Station</t>
  </si>
  <si>
    <t>GEO_ZIP_PLC_NAME</t>
  </si>
  <si>
    <t>['CCLF8.GEO_ZIP_PLC_NAME']</t>
  </si>
  <si>
    <t>['CITY_NAME']</t>
  </si>
  <si>
    <t>Contact Language Code</t>
  </si>
  <si>
    <t>A CODE IDENTIFYING THE LANGUAGE THAT THE BENEFICIARY REQUESTED CENTERS FOR MEDICARE AND MEDICAID SERVICES (CMS) USE WHEN SENDING THE MEDICARE HANDBOOK.  ENGLISH AND SPANISH ARE THE ONLY LANGUAGE CHOICES THAT CMS SUPPORTS.  THIS LANGUAGE PREFERENCE CODE IS USED EXCLUSIVELY FOR THE MEDICARE HANDBOOK.  IT IS NOT USED FOR ANY OTHER TYPE OF MAIL SENT TO BENEFICIARIES.    REFERENCE TABLE: CNTCT_LANG_CD</t>
  </si>
  <si>
    <t>Patient.communication.language.coding.where(system='urn:ietf:bcp:47').code</t>
  </si>
  <si>
    <t>en</t>
  </si>
  <si>
    <t>CNTCT_LANG_CD</t>
  </si>
  <si>
    <t>Beneficiary Sex Code</t>
  </si>
  <si>
    <t>A CODE IDENTIFYING THE SEX OF A MEDICARE BENEFICIARY.     REFERENCE TABLE: BENE_SEX_CD</t>
  </si>
  <si>
    <t>Patient.extension.where(url='http://hl7.org/fhir/us/core/StructureDefinition/us-core-sex').value</t>
  </si>
  <si>
    <t>248152002</t>
  </si>
  <si>
    <t>BENE_SEX_CD</t>
  </si>
  <si>
    <t>['CCLF8.BENE_SEX_CD']</t>
  </si>
  <si>
    <t>['BENE_SEX_IDENT_CD']</t>
  </si>
  <si>
    <t>Beneficiary Race Code</t>
  </si>
  <si>
    <t>A CODE IDENTIFYING A BENEFICIARYS RACE.  REFERENCE TABLE: BENE_RACE_CD</t>
  </si>
  <si>
    <t>Patient.extension.where(url='http://hl7.org/fhir/us/core/StructureDefinition/us-core-ethnicity' or url='http://hl7.org/fhir/us/core/StructureDefinition/us-core-race').extension.valueCoding</t>
  </si>
  <si>
    <t>{'system': 'urn:oid:2.16.840.1.113883.6.238', 'code': '2135-2', 'display': 'Hispanic or Latino'}</t>
  </si>
  <si>
    <t>BENE_RACE_CD</t>
  </si>
  <si>
    <t>['CCLF8.BENE_RACE_CD']</t>
  </si>
  <si>
    <t>['BENE_RACE_CD']</t>
  </si>
  <si>
    <t>Medicare Beneficiary Identifier</t>
  </si>
  <si>
    <t>AN IDENTIFIER THAT UNIQUELY IDENTIFIES A BENEFICIARY AND REPLACES THE HEALTH INSURANCE CLAIM NUMBER (HICN) ON MEDICARE CARDS. THE FORMAT OF THE MEDICARE BENEFICIARY IDENTIFIER (MBI) IS 11-POSITIONS IN LENGTH AND CONTAINS THE FOLLOWING VALUES:  POSITION 1 Ö NUMERIC VALUES: 1 - 9  POSITION 2 Ö ALPHABETIC VALUES: A - Z (MINUS S, L, O, I, B, Z)  POSITION 3 Ö ALPHANUMERIC VALUES: 0 - 9 AND A - Z (MINUS S, L, O, I, B, Z)  POSITION 4 Ö NUMERIC VALUES: 0 - 9  POSITION 5 Ö ALPHABETIC VALUES: A - Z (MINUS S, L, O, I, B, Z)  POSITION 6 Ö ALPHANUMERIC VALUES: 0 - 9 AND A - Z (MINUS S, L, O, I, B, Z)  POSITION 7 Ö NUMERIC VALUES: 0 - 9  POSITION 8 Ö ALPHABETIC VALUES: A - Z (MINUS S, L, O, I, B, Z)  POSITION 9 Ö ALPHABETIC VALUES: A - Z (MINUS S, L, O, I, B, Z)  POSITION 10 Ö NUMERIC VALUES: 0 - 9  POSITION 11 Ö NUMERIC VALUES: 0 - 9</t>
  </si>
  <si>
    <t>Patient.identifier.where(system='http://hl7.org/fhir/sid/us-mbi').value</t>
  </si>
  <si>
    <t>AAA1AA0AA11</t>
  </si>
  <si>
    <t>PRVS_NUM if an obsolete date is present. CRNT_NUM if no obsolete date.</t>
  </si>
  <si>
    <t>BENE_MBI_ID</t>
  </si>
  <si>
    <t>['CCLF1.BENE_MBI_ID', 'CCLF2.BENE_MBI_ID', 'CCLF3.BENE_MBI_ID', 'CCLF4.BENE_MBI_ID', 'CCLF5.BENE_MBI_ID', 'CCLF6.BENE_MBI_ID', 'CCLF7.BENE_MBI_ID', 'CCLF8.BENE_MBI_ID', 'CCLF9.CRNT_NUM', 'CCLF9.PRVS_NUM', 'CCLFA.BENE_MBI_ID', 'CCLFB.BENE_MBI_ID']</t>
  </si>
  <si>
    <t>['MBI_NUM']</t>
  </si>
  <si>
    <t>MBI Effective Date</t>
  </si>
  <si>
    <t>THE EFFECTIVE DATE WHEN AN MBI IS ASSIGNED TO A BENEFICIARY.</t>
  </si>
  <si>
    <t>Patient.identifier.where(system='http://hl7.org/fhir/sid/us-mbi').period.start</t>
  </si>
  <si>
    <t>2017-05-11</t>
  </si>
  <si>
    <t>PRVS_ID_EFCTV_DT is accurate if there is also an obsolete date. Otherwise, it is the current MBI.</t>
  </si>
  <si>
    <t>V2_MDCR_BENE_MBI_ID</t>
  </si>
  <si>
    <t>BENE_MBI_EFCTV_DT</t>
  </si>
  <si>
    <t>['CCLF9.PRVS_ID_EFCTV_DT']</t>
  </si>
  <si>
    <t>['EFCTV_BGN_DT']</t>
  </si>
  <si>
    <t>MBI Obsolete Date</t>
  </si>
  <si>
    <t>THE END DATE WHEN AN MBI PERIOD IS CLOSED DUE TO BEING COMPROMISED OR INVOLVED IN A MERGE CROSS REFERENCE ACTION. (REPLACED BY A NEW MBI).</t>
  </si>
  <si>
    <t>Patient.identifier.where(system='http://hl7.org/fhir/sid/us-mbi').period.end</t>
  </si>
  <si>
    <t>2017-07-01</t>
  </si>
  <si>
    <t>BENE_MBI_OBSLT_DT</t>
  </si>
  <si>
    <t>['CCLF9.PRVS_ID_OBSLT_DT']</t>
  </si>
  <si>
    <t>['EFCTV_END_DT']</t>
  </si>
  <si>
    <t>Coverage Part</t>
  </si>
  <si>
    <t>The 'Part' of Medicare Coverage desired to transform.</t>
  </si>
  <si>
    <t>Coverage</t>
  </si>
  <si>
    <t>['PartA', 'PartB']</t>
  </si>
  <si>
    <t>Coverage.class.where(type.coding.code='plan').value</t>
  </si>
  <si>
    <t>Part A</t>
  </si>
  <si>
    <t>Beneficiary MBI ID</t>
  </si>
  <si>
    <t>Coverage.subscriberId</t>
  </si>
  <si>
    <t>ABB2BB0BB22</t>
  </si>
  <si>
    <t>V2_MDCR_BENE</t>
  </si>
  <si>
    <t>Beneficiary FHIR ID</t>
  </si>
  <si>
    <t>Coverage.beneficiary.reference.substring(8)</t>
  </si>
  <si>
    <t>Medicare Status Code</t>
  </si>
  <si>
    <t>A CODE IDENTIFYING THE REASON FOR A BENEFICIARYS ENTITLEMENT TO MEDICARE BENEFITS.    REFERENCE TABLE: BENE_MDCR_STUS_CD</t>
  </si>
  <si>
    <t>Coverage.extension.where(url='https://bluebutton.cms.gov/fhir/StructureDefinition/BENE-MDCR-STUS-CD').value.code</t>
  </si>
  <si>
    <t>31</t>
  </si>
  <si>
    <t>V2_MDCR_BENE_MDCR_STUS</t>
  </si>
  <si>
    <t>BENE_MDCR_STUS_CD</t>
  </si>
  <si>
    <t>https://bluebutton.cms.gov/fhir/CodeSystem/BENE-MDCR-STUS-CD</t>
  </si>
  <si>
    <t>['CCLF8.BENE_MDCR_STUS_CD']</t>
  </si>
  <si>
    <t>['BENE_MDCR_STATUS_CD']</t>
  </si>
  <si>
    <t>Medicare Entitlement Status Code</t>
  </si>
  <si>
    <t>THE REASON FOR ENTITLEMENT OR TERMINATION OF A BENEFICIARYS BENEFITS DURING A PERIOD OF COVERAGE.</t>
  </si>
  <si>
    <t>Coverage.extension.where(url='https://bluebutton.cms.gov/fhir/StructureDefinition/BENE-MDCR-ENTLMT-STUS-CD').value.code</t>
  </si>
  <si>
    <t>E</t>
  </si>
  <si>
    <t>V2_MDCR_BENE_MDCR_ENTLMT</t>
  </si>
  <si>
    <t>BENE_MDCR_ENTLMT_STUS_CD</t>
  </si>
  <si>
    <t>https://bluebutton.cms.gov/fhir/CodeSystem/BENE-MDCR-ENTLMT-STUS-CD</t>
  </si>
  <si>
    <t>['BENE_PTA_TRMNTN_CD', 'BENE_PTB_TRMNTN_CD']</t>
  </si>
  <si>
    <t>Buy-in Code</t>
  </si>
  <si>
    <t>A CODE THAT INDICATES THE REASON FOR PART A/PART B STATE BUY-IN ELIGIBILITY.</t>
  </si>
  <si>
    <t>Coverage.extension.where(url='https://bluebutton.cms.gov/fhir/StructureDefinition/BENE-BUYIN-CD').value.code</t>
  </si>
  <si>
    <t>A</t>
  </si>
  <si>
    <t>V2_MDCR_BENE_TP</t>
  </si>
  <si>
    <t>BENE_BUYIN_CD</t>
  </si>
  <si>
    <t>https://bluebutton.cms.gov/fhir/CodeSystem/BENE-BUYIN-CD</t>
  </si>
  <si>
    <t>['CCLF8.BENE_ENTLMT_BUYIN_IND']</t>
  </si>
  <si>
    <t>['MDCR_ENTLMT_BUYIN_1_IND', 'MDCR_ENTLMT_BUYIN_2_IND', 'MDCR_ENTLMT_BUYIN_3_IND', 'MDCR_ENTLMT_BUYIN_4_IND', 'MDCR_ENTLMT_BUYIN_5_IND', 'MDCR_ENTLMT_BUYIN_6_IND', 'MDCR_ENTLMT_BUYIN_7_IND', 'MDCR_ENTLMT_BUYIN_8_IND', 'MDCR_ENTLMT_BUYIN_9_IND', 'MDCR_ENTLMT_BUYIN_10_IND', 'MDCR_ENTLMT_BUYIN_11_IND', 'MDCR_ENTLMT_BUYIN_12_IND']</t>
  </si>
  <si>
    <t>Beneficiary Range Begin Date</t>
  </si>
  <si>
    <t>THE PRIMARY BEGIN DATE FOR A BENEFICIARY DATE RANGE.</t>
  </si>
  <si>
    <t>Coverage.period.start</t>
  </si>
  <si>
    <t>2018-04-11</t>
  </si>
  <si>
    <t>BENE_RNG_BGN_DT</t>
  </si>
  <si>
    <t>['CCLF8.BENE_PART_A_ENRLMT_BGN_DT', 'CCLF8.BENE_PART_B_ENRLMT_BGN_DT']</t>
  </si>
  <si>
    <t>['COVSTART']</t>
  </si>
  <si>
    <t>Beneficiary Range End Date</t>
  </si>
  <si>
    <t>THE PRIMARY END DATE FOR A BENEFICIARY DATE RANGE.</t>
  </si>
  <si>
    <t>Coverage.period.end</t>
  </si>
  <si>
    <t>BENE_RNG_END_DT</t>
  </si>
  <si>
    <t>The date the coverage information was last updated</t>
  </si>
  <si>
    <t>Coverage.meta.lastUpdated</t>
  </si>
  <si>
    <t>This should represent the latest update time of any of the constituent rows.</t>
  </si>
  <si>
    <t>Beneficiary Enrollment Reason Code</t>
  </si>
  <si>
    <t>THE REASON FOR A BENEFICIARYS ENROLMENT TO PART A/PART B BENEFITS.</t>
  </si>
  <si>
    <t>Coverage.extension.where(url='https://bluebutton.cms.gov/fhir/StructureDefinition/BENE-ENRLMT-RSN-CD').value.code</t>
  </si>
  <si>
    <t>BENE_MDCR_ENRLMT_RSN_CD</t>
  </si>
  <si>
    <t>https://bluebutton.cms.gov/fhir/CodeSystem/BENE-MDCR-ENRLMT-RSN-CD</t>
  </si>
  <si>
    <t>Beneficiary Entitlement Reason Code</t>
  </si>
  <si>
    <t>A CODE IDENTIFYING THE BASIS IN DETERMINING A BENEFICIARYS ENTITLEMENT TO MEDICARE BENEFITS.</t>
  </si>
  <si>
    <t>Coverage.extension.where(url='https://bluebutton.cms.gov/fhir/StructureDefinition/BENE-MDCR-ENTLMT-RSN-CD').value.code</t>
  </si>
  <si>
    <t>V2_MDCR_BENE_MDCR_ENTLMT_RSN</t>
  </si>
  <si>
    <t>BENE_MDCR_ENTLMT_RSN_CD</t>
  </si>
  <si>
    <t>https://bluebutton.cms.gov/fhir/CodeSystem/BENE-MDCR-ENTLMT-RSN-CD</t>
  </si>
  <si>
    <t>['CCLF8.BENE_ORGNL_ENTLMT_RSN_CD']</t>
  </si>
  <si>
    <t>['BENE_ENTLMT_RSN_ORIG']</t>
  </si>
  <si>
    <t>Beneficiary ESRD Status ID</t>
  </si>
  <si>
    <t>A beneficiary's end stage renal disease status indicator.</t>
  </si>
  <si>
    <t>Coverage.extension.where(url='https://bluebutton.cms.gov/fhir/StructureDefinition/BENE-ESRD-STUS-ID').value.code</t>
  </si>
  <si>
    <t>V2_MDCR_BENE_MDCR_STUS_CD</t>
  </si>
  <si>
    <t>BENE_ESRD_STUS_ID</t>
  </si>
  <si>
    <t>https://bluebutton.cms.gov/fhir/CodeSystem/BENE-ESRD-STUS-ID</t>
  </si>
  <si>
    <t>['BENE_ESRD_IND']</t>
  </si>
  <si>
    <t>Beneficiary Disabled Status Code</t>
  </si>
  <si>
    <t>AN IDENTIFIER INDICATING WHETHER DISABILITY IS A REASON FOR A BENEFICIARYS ENTITLEMENT TO MEDICARE.</t>
  </si>
  <si>
    <t>Coverage.extension.where(url='https://bluebutton.cms.gov/fhir/StructureDefinition/BENE-DSBLD-STUS-ID').value.code</t>
  </si>
  <si>
    <t>N</t>
  </si>
  <si>
    <t>BENE_DSBLD_STUS_ID</t>
  </si>
  <si>
    <t>https://bluebutton.cms.gov/fhir/CodeSystem/BENE-DSBLD-STUS-ID</t>
  </si>
  <si>
    <t>Beneficiary Dual Status Code</t>
  </si>
  <si>
    <t>A CODE IDENTIFYING THE ENTITLEMENT STATUS FOR A DUAL ELIGIBLE BENEFICIARY.</t>
  </si>
  <si>
    <t>['DUAL']</t>
  </si>
  <si>
    <t>Coverage.extension.where(url='https://bluebutton.cms.gov/fhir/StructureDefinition/BENE-DUAL-STUS-CD').value.code</t>
  </si>
  <si>
    <t>V2_MDCR_BENE_CMBND_DUAL_MDCR</t>
  </si>
  <si>
    <t>BENE_DUAL_STUS_CD</t>
  </si>
  <si>
    <t>https://bluebutton.cms.gov/fhir/CodeSystem/BENE-DUAL-STUS-CD</t>
  </si>
  <si>
    <t>['CCLF8.BENE_DUAL_STUS_CD']</t>
  </si>
  <si>
    <t>['DUAL_STUS_CD_01', 'DUAL_STUS_CD_02', 'DUAL_STUS_CD_03', 'DUAL_STUS_CD_04', 'DUAL_STUS_CD_05', 'DUAL_STUS_CD_06', 'DUAL_STUS_CD_07', 'DUAL_STUS_CD_08', 'DUAL_STUS_CD_09', 'DUAL_STUS_CD_10', 'DUAL_STUS_CD_11', 'DUAL_STUS_CD_12']</t>
  </si>
  <si>
    <t>Medicare/Medicaid Dual Type Code</t>
  </si>
  <si>
    <t>A CODE IDENTIFYING A BENEFICIARYÒ² DUAL MEDICAID DESIGNATION, WHETHER A BENEFICIARY IS Ð¦ULLÒ¬ Ð€ARTIALÒ OR Ð®ONEÒ DUAL MEDICARE.</t>
  </si>
  <si>
    <t>Coverage.extension.where(url='https://bluebutton.cms.gov/fhir/StructureDefinition/BENE-DUAL-TYPE-CD').value.code</t>
  </si>
  <si>
    <t>BENE_DUAL_TYPE_CD</t>
  </si>
  <si>
    <t>https://bluebutton.cms.gov/fhir/CodeSystem/BENE-DUAL-TYPE-CD</t>
  </si>
  <si>
    <t>Medicaid State Code</t>
  </si>
  <si>
    <t>A CODE IDENTIFYING THE TWO-CHARACTER ALPHABETIC ABBREVIATION FOR A STATE IN THE UNITED STATES AS DEFINED BY THE UNITED STATES POSTAL SERVICE (USPS) ASSOCIATED WITH A BENEFICIARY, PROVIDER, OR CLAIM ADDRESS AND USED IN THE GEOCODING PROCESS.    REFERENCE TABLE: GEO_USPS_STATE_CD</t>
  </si>
  <si>
    <t>Coverage.extension.where(url='https://bluebutton.cms.gov/fhir/StructureDefinition/MEDICAID-STATE-CD').value.code</t>
  </si>
  <si>
    <t>Medicaid Eligibility Begin Date</t>
  </si>
  <si>
    <t>A DATE THAT INDICATES THE BEGINNING OF A BENEFICIARYÒ² MEDICAID ELIGIBILITY PERIOD. IT IS THE EFFECTIVE START DATE OF THE MEDICAID PERIOD CALCULATED ACCORDING TO MEDICARE ADVANTAGE PRESCRIPTION DRUG (MARX) REQUIREMENTS. THE DATE WILL ALWAYS BE THE FIRST OF A MONTH.</t>
  </si>
  <si>
    <t>BENE_MDCD_ELGBLTY_BGN_DT</t>
  </si>
  <si>
    <t>Medicaid Eligibility End Date</t>
  </si>
  <si>
    <t>A DATE THAT INDICATES THE END OF A BENEFICIARYÒ² MEDICAID ELIGIBILITY PERIOD. IT IS THE EFFECTIVE END DATE OF THE MEDICAID PERIOD CALCULATED ACCORDING TO MEDICARE ADVANTAGE PRESCRIPTION DRUG (MARX) REQUIREMENTS. THE DATE WILL ALWAYS BE THE END OF A MONTH OR 12/31/9999.</t>
  </si>
  <si>
    <t>BENE_MDCD_ELGBLTY_END_DT</t>
  </si>
  <si>
    <t>Beneficiary Enrollment Begin Date</t>
  </si>
  <si>
    <t>THE DATE THAT THE BENEFICIARY ENROLLED IN THE SERVICE ELECTION.[SOURCE: PLAN TRANSACTION, AUTOMATIC ENROLLMENT]</t>
  </si>
  <si>
    <t>['PartC', 'PartD']</t>
  </si>
  <si>
    <t>V2_MDCR_BENE_MAPD_ENRLMT</t>
  </si>
  <si>
    <t>BENE_ENRLMT_BGN_DT</t>
  </si>
  <si>
    <t>Beneficiary Enrollment End Date</t>
  </si>
  <si>
    <t>THE DATE THAT THE BENEFICIARY DISENROLLED IN THE SERVICE ELECTIONS .</t>
  </si>
  <si>
    <t>BENE_ENRLMT_END_DT</t>
  </si>
  <si>
    <t>Beneficiary Contract Number</t>
  </si>
  <si>
    <t>UNIQUE IDENTIFIER ENABLING AN ENTITY TO PROVIDE COVERAGE TO ELIGIBLE MEDICARE BENEFICIARIES</t>
  </si>
  <si>
    <t>Coverage.extension.where(url='https://bluebutton.cms.gov/fhir/StructureDefinition/BENE-CNTRCT-NUM').value</t>
  </si>
  <si>
    <t>BENE_CNTRCT_NUM</t>
  </si>
  <si>
    <t>['PTC_CNTRCT_ID_01', 'PTC_CNTRCT_ID_02', 'PTC_CNTRCT_ID_03', 'PTC_CNTRCT_ID_04', 'PTC_CNTRCT_ID_05', 'PTC_CNTRCT_ID_06', 'PTC_CNTRCT_ID_07', 'PTC_CNTRCT_ID_08', 'PTC_CNTRCT_ID_09', 'PTC_CNTRCT_ID_10', 'PTC_CNTRCT_ID_11', 'PTC_CNTRCT_ID_12', 'PTD_CNTRCT_ID_01', 'PTD_CNTRCT_ID_02', 'PTD_CNTRCT_ID_03', 'PTD_CNTRCT_ID_04', 'PTD_CNTRCT_ID_05', 'PTD_CNTRCT_ID_06', 'PTD_CNTRCT_ID_07', 'PTD_CNTRCT_ID_08', 'PTD_CNTRCT_ID_09', 'PTD_CNTRCT_ID_10', 'PTD_CNTRCT_ID_11', 'PTD_CNTRCT_ID_12']</t>
  </si>
  <si>
    <t>Beneficiary PBP Number</t>
  </si>
  <si>
    <t>A UNIQUE IDENTIFIER FOR THE PLAN BENEFIT PACKAGE OFFERED UNDER THE CONTRACT. FOR PART D THIS NUMBER IS A UNIQUE IDENTIFICATION FOR AN AGREEMENT BETWEEN CMS AND A PART D PROVIDER ENABLING THE PART D PROVIDER TO PROVIDE DRUG COVERAGE TO ELIGIBLE BENEFICIARIES. MARX DEFINITION: A 3-POSITION NUMERIC IDENTIFIER ASSIGNED TO A PLAN BENEFIT PACKAGE (PBP) OFFERED WITHIN A MANAGED CARE OR PRESCRIPTION DRUG CONTRACT. VALUES BEGINNING WITH 8 ARE RESERVED FOR EMPLOYER GROUP PLANS. A VALUE OF 999 IS RESERVED FOR COST CONTRACTORS WHO DO NOT CHOOSE TO OFFER A PRESCRIPTION DRUG BENEFIT</t>
  </si>
  <si>
    <t>Coverage.extension.where(url='https://bluebutton.cms.gov/fhir/StructureDefinition/BENE-PBP-NUM').value</t>
  </si>
  <si>
    <t>BENE_PBP_NUM</t>
  </si>
  <si>
    <t>['PTC_PBP_ID_01', 'PTC_PBP_ID_02', 'PTC_PBP_ID_03', 'PTC_PBP_ID_04', 'PTC_PBP_ID_05', 'PTC_PBP_ID_06', 'PTC_PBP_ID_07', 'PTC_PBP_ID_08', 'PTC_PBP_ID_09', 'PTC_PBP_ID_10', 'PTC_PBP_ID_11', 'PTC_PBP_ID_12', 'PTD_PBP_ID_01', 'PTD_PBP_ID_02', 'PTD_PBP_ID_03', 'PTD_PBP_ID_04', 'PTD_PBP_ID_05', 'PTD_PBP_ID_06', 'PTD_PBP_ID_07', 'PTD_PBP_ID_08', 'PTD_PBP_ID_09', 'PTD_PBP_ID_10', 'PTD_PBP_ID_11', 'PTD_PBP_ID_12']</t>
  </si>
  <si>
    <t>Beneficiary Coverage Type Code</t>
  </si>
  <si>
    <t>A CODE IDENTIFYING THE TYPE OF COVERAGE IN WHICH THE BENEFICIARY IS ENROLLED.    REFERENCE TABLE: BENE_CVRG_TYPE_CD</t>
  </si>
  <si>
    <t>Coverage.extension.where(url='https://bluebutton.cms.gov/fhir/StructureDefinition/BENE-CVRG-TYPE-CD').value.code</t>
  </si>
  <si>
    <t>The code system has a different enumeration between the CCW and the IDR. For example, in the IDR, PACE is 6, but 020 in the CCW.</t>
  </si>
  <si>
    <t>BENE_CVRG_TYPE_CD</t>
  </si>
  <si>
    <t>https://bluebutton.cms.gov/fhir/CodeSystem/BENE-CVRG-TYPE-CD</t>
  </si>
  <si>
    <t>['PTC_PLAN_TYPE_CD_01', 'PTC_PLAN_TYPE_CD_02', 'PTC_PLAN_TYPE_CD_03', 'PTC_PLAN_TYPE_CD_04', 'PTC_PLAN_TYPE_CD_05', 'PTC_PLAN_TYPE_CD_06', 'PTC_PLAN_TYPE_CD_07', 'PTC_PLAN_TYPE_CD_08', 'PTC_PLAN_TYPE_CD_09', 'PTC_PLAN_TYPE_CD_10', 'PTC_PLAN_TYPE_CD_11', 'PTC_PLAN_TYPE_CD_12']</t>
  </si>
  <si>
    <t>TEXT LABEL DESCRIBING THE PBP, USUALLY THE PRODUCT NAME.</t>
  </si>
  <si>
    <t>Coverage.contained.where(resourceType='Organization').name</t>
  </si>
  <si>
    <t>Sample Medicare Advantage Plan</t>
  </si>
  <si>
    <t>Contract Plan Contact Telephone Number</t>
  </si>
  <si>
    <t>A SEQUENCE OF NUMBERS THAT IDENTIFIES A PARTICULAR TELEPHONE AND THAT MUST BE DIALED FOR THE CALLER TO CONNECT TO THE TELEPHONE OF THE CONTACT.</t>
  </si>
  <si>
    <t>Coverage.contained.where(resourceType='Organization').contact.telecom.where(system='phone').value</t>
  </si>
  <si>
    <t>1-800-555-1234</t>
  </si>
  <si>
    <t>V2_MDCR_CNTRCT_PBP_CNTCT</t>
  </si>
  <si>
    <t>CNTRCT_PLAN_CNTCT_TEL_NUM</t>
  </si>
  <si>
    <t>Beneficiary PDP Enrollment Member ID Number</t>
  </si>
  <si>
    <t>MEMBER ID ASSIGNED TO THE BENEFICIARY.</t>
  </si>
  <si>
    <t>['PartD']</t>
  </si>
  <si>
    <t>Coverage.class.where(type.coding.code='rxid').value</t>
  </si>
  <si>
    <t>M123456789</t>
  </si>
  <si>
    <t>V2_MDCR_BENE_MAPD_ENRLMT_RX</t>
  </si>
  <si>
    <t>BENE_PDP_ENRLMT_MMBR_ID_NUM</t>
  </si>
  <si>
    <t>Beneficiary PDP Enrollment Group Number</t>
  </si>
  <si>
    <t>IDENTIFYING NUMBER ASSIGNED TO THE CARDHOLDER GROUP OR EMPLOYER GROUP.</t>
  </si>
  <si>
    <t>Coverage.class.where(type.coding.code='rxgroup').value</t>
  </si>
  <si>
    <t>G987654321</t>
  </si>
  <si>
    <t>BENE_PDP_ENRLMT_GRP_NUM</t>
  </si>
  <si>
    <t>Beneficiary PDP Enrollment Processor Number</t>
  </si>
  <si>
    <t>NUMBER ASSIGNED BY THE PROCESSOR.</t>
  </si>
  <si>
    <t>Coverage.class.where(type.coding.code='rxpcn').value</t>
  </si>
  <si>
    <t>P123456</t>
  </si>
  <si>
    <t>BENE_PDP_ENRLMT_PRCSR_NUM</t>
  </si>
  <si>
    <t>Beneficiary PDP Enrollment Bank ID Number</t>
  </si>
  <si>
    <t>A CARD ISSUER IDENTIFIER OR A BANK IDENTIFYING NUMBER USED FOR NETWORK ROUTING.</t>
  </si>
  <si>
    <t>Coverage.class.where(type.coding.code='rxbin').value</t>
  </si>
  <si>
    <t>BIN123456</t>
  </si>
  <si>
    <t>BENE_PDP_ENRLMT_BANK_ID_NUM</t>
  </si>
  <si>
    <t>Beneficiary LIS Effective Code</t>
  </si>
  <si>
    <t>SWITCH INDICATING THAT THIS RECORD IS THE CURRENT EFFECTIVE LOW INCOME SUBSIDY (LIS) DETERMINATION RECORD.</t>
  </si>
  <si>
    <t>Coverage.extension.where(url='https://bluebutton.cms.gov/fhir/StructureDefinition/BENE-LIS-EFCTV-CD').value.code</t>
  </si>
  <si>
    <t>V2_MDCR_BENE_LIS</t>
  </si>
  <si>
    <t>BENE_LIS_EFCTV_CD</t>
  </si>
  <si>
    <t>https://bluebutton.cms.gov/fhir/CodeSystem/BENE-LIS-EFCTV-CD</t>
  </si>
  <si>
    <t>['CST_SHR_GRP_CD_01', 'CST_SHR_GRP_CD_02', 'CST_SHR_GRP_CD_03', 'CST_SHR_GRP_CD_04', 'CST_SHR_GRP_CD_05', 'CST_SHR_GRP_CD_06', 'CST_SHR_GRP_CD_07', 'CST_SHR_GRP_CD_08', 'CST_SHR_GRP_CD_09', 'CST_SHR_GRP_CD_10', 'CST_SHR_GRP_CD_11', 'CST_SHR_GRP_CD_12']</t>
  </si>
  <si>
    <t>Beneficiary LIS Copayment Level Code</t>
  </si>
  <si>
    <t>A CODE IDENTIFYING THE GENERIC LEVEL USED TO COMPUTE THE LOW INCOME SUBSIDY (LIS) CO-PAYMENT AMOUNT. THIS GENERIC LEVEL TRANSLATES TO A SPECIFIC NUMERIC VALUE THAT WILL BE USED IN THE COMPUTATION.    REFERENCE TABLE: BENE_LIS_COPMT_LVL_CD</t>
  </si>
  <si>
    <t>Coverage.extension.where(url='https://bluebutton.cms.gov/fhir/StructureDefinition/BENE-LIS-COPMT-LVL-CD').value.code</t>
  </si>
  <si>
    <t>BENE_LIS_COPMT_LVL_CD</t>
  </si>
  <si>
    <t>https://bluebutton.cms.gov/fhir/CodeSystem/BENE-LIS-COPMT-LVL-CD</t>
  </si>
  <si>
    <t>Beneficiary LIS Part D Premium Percentage</t>
  </si>
  <si>
    <t>IDENTIFIES THE PORTION OF THE PART D PREMIUM SUBSIDIZED, BASED ON A SLIDING SCALE LINKED TO THE FEDERAL POVERTY LEVEL (FPL) PERCENTAGE. IF THE PERSON IS UNDER 135% FPL THE PREMIUM SUBSIDY PERCENT WILL BE 100%.  IF THE PERSON IS 136-140% FPL THE PREMIUM SUBSIDY PERCENT WILL BE 75%.    IF THE PERSON IS 141-145% FPL THE PREMIUM SUBSIDY WILL BE 50%.  IF THE PERSON IS 146-149% FPL THE PREMIUM SUBSIDY WILL BE 25%.</t>
  </si>
  <si>
    <t>Coverage.extension.where(url='https://bluebutton.cms.gov/fhir/StructureDefinition/BENE-LIS-PTD-PRM-PCT').value</t>
  </si>
  <si>
    <t>BENE_LIS_PTD_PRM_PCT</t>
  </si>
  <si>
    <t>Contract PBP Segment Number</t>
  </si>
  <si>
    <t>IDENTIFICATION NUMBER FOR A PORTION OF THE PBP DESIGNATED AS A SEGMENT.  MUST BE PRESENT.</t>
  </si>
  <si>
    <t>Coverage.extension.where(url='https://bluebutton.cms.gov/fhir/StructureDefinition/CNTRCT-PBP-SGMT-NUM').value</t>
  </si>
  <si>
    <t>000</t>
  </si>
  <si>
    <t>V2_MDCR_CNTRCT_PBP_SGMT</t>
  </si>
  <si>
    <t>CNTRCT_PBP_SGMT_NUM</t>
  </si>
  <si>
    <t>['PTD_SGMT_ID_01', 'PTD_SGMT_ID_02', 'PTD_SGMT_ID_03', 'PTD_SGMT_ID_04', 'PTD_SGMT_ID_05', 'PTD_SGMT_ID_06', 'PTD_SGMT_ID_07', 'PTD_SGMT_ID_08', 'PTD_SGMT_ID_09', 'PTD_SGMT_ID_10', 'PTD_SGMT_ID_11', 'PTD_SGMT_ID_12']</t>
  </si>
  <si>
    <t>Retiree Drug Subsidy Switch</t>
  </si>
  <si>
    <t>A SWITCH INDICATING THAT ENROLLMENT IN PART D WAS REQUESTED BY THE BENEFICIARY WHO HAS EMPLOYER SUBSIDY ENROLLMENT.</t>
  </si>
  <si>
    <t>Coverage.extension.where(url='https://bluebutton.cms.gov/fhir/StructureDefinition/BENE-ENRLMT-EMPLR-SBSDY-SW').value</t>
  </si>
  <si>
    <t>{'system': 'https://bluebutton.cms.gov/fhir/CodeSystem/BENE-ENRLMT-EMPLR-SBSDY-SW', 'code': 'Y'}</t>
  </si>
  <si>
    <t>BENE_ENRLMT_EMPLR_SBSDY_SW</t>
  </si>
  <si>
    <t>https://bluebutton.cms.gov/fhir/CodeSystem/BENE-ENRLMT-EMPLR-SBSDY-SW</t>
  </si>
  <si>
    <t>['RDS_IND_01', 'RDS_IND_02', 'RDS_IND_03', 'RDS_IND_04', 'RDS_IND_05', 'RDS_IND_06', 'RDS_IND_07', 'RDS_IND_08', 'RDS_IND_09', 'RDS_IND_10', 'RDS_IND_11', 'RDS_IND_12']</t>
  </si>
  <si>
    <t>CCLF File</t>
  </si>
  <si>
    <t>Element #</t>
  </si>
  <si>
    <t>Field Label</t>
  </si>
  <si>
    <t>Start Position</t>
  </si>
  <si>
    <t>End Position</t>
  </si>
  <si>
    <t>Data Length</t>
  </si>
  <si>
    <t>Format</t>
  </si>
  <si>
    <t>Field Description</t>
  </si>
  <si>
    <t>id</t>
  </si>
  <si>
    <t>File &amp; Label name</t>
  </si>
  <si>
    <t>BFD Mapping (sourceColumn)</t>
  </si>
  <si>
    <t>BFD Field Name</t>
  </si>
  <si>
    <t>FHIR Path</t>
  </si>
  <si>
    <t>CCLF0</t>
  </si>
  <si>
    <t>File Number Label</t>
  </si>
  <si>
    <t>Title</t>
  </si>
  <si>
    <t>X(13)</t>
  </si>
  <si>
    <t>“File Number”
This field will be left-justified and right-padded with spaces.</t>
  </si>
  <si>
    <t>Delimiter</t>
  </si>
  <si>
    <t>X(1)</t>
  </si>
  <si>
    <t>“|”</t>
  </si>
  <si>
    <t>File Description Label</t>
  </si>
  <si>
    <t>X(20)</t>
  </si>
  <si>
    <t>“File Description”
This field will be left-justified and right-padded with spaces.</t>
  </si>
  <si>
    <t>Total Records Count Label</t>
  </si>
  <si>
    <t>“Total Records Count”
This field will be left-justified and right-padded with spaces.</t>
  </si>
  <si>
    <t>Record Length Label</t>
  </si>
  <si>
    <t>“Record Length”
This field will be left-justified and right-padded with spaces.</t>
  </si>
  <si>
    <t>CCLF1</t>
  </si>
  <si>
    <t>CUR_CLM_UNIQ_ID</t>
  </si>
  <si>
    <t>Current Claim Unique Identifier</t>
  </si>
  <si>
    <t>9(13)</t>
  </si>
  <si>
    <r>
      <t xml:space="preserve">A unique identification number assigned to the claim. </t>
    </r>
    <r>
      <rPr>
        <vertAlign val="superscript"/>
        <sz val="10"/>
        <color rgb="FF000000"/>
        <rFont val="Arial"/>
      </rPr>
      <t>I H</t>
    </r>
  </si>
  <si>
    <t>PRVDR_OSCAR_NUM</t>
  </si>
  <si>
    <t>Provider OSCAR Number</t>
  </si>
  <si>
    <t>X(06)</t>
  </si>
  <si>
    <r>
      <t xml:space="preserve">A facility’s Medicare/Medicaid identification number. It is also known as a Medicare/Medicaid Provider Number, or CCN. This number verifies that a provider has been Medicare certified for a particular type of service. </t>
    </r>
    <r>
      <rPr>
        <vertAlign val="superscript"/>
        <sz val="10"/>
        <color rgb="FF000000"/>
        <rFont val="Arial"/>
      </rPr>
      <t>H</t>
    </r>
  </si>
  <si>
    <t>X(11)</t>
  </si>
  <si>
    <r>
      <t xml:space="preserve">A Medicare Beneficiary Identifier assigned to a beneficiary </t>
    </r>
    <r>
      <rPr>
        <vertAlign val="superscript"/>
        <sz val="10"/>
        <color rgb="FF000000"/>
        <rFont val="Arial"/>
      </rPr>
      <t>I H</t>
    </r>
  </si>
  <si>
    <t>BENE_HIC_NUM</t>
  </si>
  <si>
    <t>Beneficiary HIC Number</t>
  </si>
  <si>
    <r>
      <t xml:space="preserve">Legacy Beneficiary HICN field I
</t>
    </r>
    <r>
      <rPr>
        <b/>
        <sz val="10"/>
        <color rgb="FF000000"/>
        <rFont val="Arial"/>
      </rPr>
      <t xml:space="preserve">Note: </t>
    </r>
    <r>
      <rPr>
        <i/>
        <sz val="10"/>
        <color rgb="FF000000"/>
        <rFont val="Arial"/>
      </rPr>
      <t>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t>
    </r>
  </si>
  <si>
    <t>9(02)</t>
  </si>
  <si>
    <t>Signifies the type of claim being submitted through the Medicare or Medicaid programs. H
Claim type code include: 
10 = HHA claim
20 = Non swing bed SNF claim 
30 = Swing bed SNF claim
40 = Outpatient claim 
50 = Hospice claim
60 = Inpatient claim
61 = Inpatient “Full-Encounter” claim</t>
  </si>
  <si>
    <t>YYYY-MM-DD</t>
  </si>
  <si>
    <r>
      <t xml:space="preserve">The first day on the billing statement that covers services rendered to the beneficiary. </t>
    </r>
    <r>
      <rPr>
        <vertAlign val="superscript"/>
        <sz val="10"/>
        <color rgb="FF000000"/>
        <rFont val="Arial"/>
      </rPr>
      <t xml:space="preserve">H
</t>
    </r>
    <r>
      <rPr>
        <sz val="10"/>
        <color rgb="FF000000"/>
        <rFont val="Arial"/>
      </rPr>
      <t>Also known as “Statement Covers From Date.”</t>
    </r>
  </si>
  <si>
    <r>
      <t xml:space="preserve">The last day on the billing statement that covers services rendered to the beneficiary. </t>
    </r>
    <r>
      <rPr>
        <vertAlign val="superscript"/>
        <sz val="10"/>
        <color rgb="FF000000"/>
        <rFont val="Arial"/>
      </rPr>
      <t xml:space="preserve">H
</t>
    </r>
    <r>
      <rPr>
        <sz val="10"/>
        <color rgb="FF000000"/>
        <rFont val="Arial"/>
      </rPr>
      <t>Also known as the “Statement Covers Through Date.”</t>
    </r>
  </si>
  <si>
    <t>Claim Bill Facility Type Code</t>
  </si>
  <si>
    <t>X(01)</t>
  </si>
  <si>
    <t>The first digit of the type of bill (TOB1) is used to identify the type of facility that provided care to the beneficiary (e.g., hospital or SNF). H
Claim Facility Type Code include:
1 = Hospital
2 = SNF
3 = HHA
4 = Religious non-medical (hospital)
5 = Religious non-medical (extended care)
6 = Intermediate care
7 = Clinic or hospital-based renal dialysis facility
8 = Specialty facility or Ambulatory Surgical Center (ASC) surgery
9 = Reserved</t>
  </si>
  <si>
    <t>Claim Bill Classificatio n Code</t>
  </si>
  <si>
    <r>
      <t xml:space="preserve">The second digit of the type of bill (TOB2) is used to indicate with greater specificity where the service was provided (e.g., a department within a hospital). H
Find </t>
    </r>
    <r>
      <rPr>
        <u/>
        <sz val="10"/>
        <color rgb="FF0000FF"/>
        <rFont val="Arial"/>
      </rPr>
      <t xml:space="preserve">Claim Service Classification  Code </t>
    </r>
    <r>
      <rPr>
        <u/>
        <sz val="10"/>
        <color rgb="FF000000"/>
        <rFont val="Arial"/>
      </rPr>
      <t>at the ResDAC website.</t>
    </r>
  </si>
  <si>
    <t>PRNCPL_DGNS_CD</t>
  </si>
  <si>
    <t>Principal Diagnosis Code</t>
  </si>
  <si>
    <t>X(07)</t>
  </si>
  <si>
    <r>
      <t xml:space="preserve">The ICD-9/10 diagnosis code identifies the beneficiary’s principal illness or disability. </t>
    </r>
    <r>
      <rPr>
        <vertAlign val="superscript"/>
        <sz val="10"/>
        <color rgb="FF000000"/>
        <rFont val="Arial"/>
      </rPr>
      <t>H</t>
    </r>
  </si>
  <si>
    <t>ADMTG_DGNS_CD</t>
  </si>
  <si>
    <t>Admitting Diagnosis Code</t>
  </si>
  <si>
    <r>
      <t xml:space="preserve">The ICD-9/10 diagnosis code identifies the illness or disability for which the beneficiary was admitted. </t>
    </r>
    <r>
      <rPr>
        <vertAlign val="superscript"/>
        <sz val="10"/>
        <color rgb="FF000000"/>
        <rFont val="Arial"/>
      </rPr>
      <t>H</t>
    </r>
  </si>
  <si>
    <t>Claim Medicare Non-Payment Reason Code</t>
  </si>
  <si>
    <t>X(02)</t>
  </si>
  <si>
    <r>
      <t xml:space="preserve">Indicates the reason payment on an institutional claim is denied.
Find </t>
    </r>
    <r>
      <rPr>
        <u/>
        <sz val="10"/>
        <color rgb="FF0000FF"/>
        <rFont val="Arial"/>
      </rPr>
      <t xml:space="preserve">Medicare Non-Payment  Reason Code </t>
    </r>
    <r>
      <rPr>
        <u/>
        <sz val="10"/>
        <color rgb="FF000000"/>
        <rFont val="Arial"/>
      </rPr>
      <t>at the ResDAC website.</t>
    </r>
  </si>
  <si>
    <t>Claim Payment Amount</t>
  </si>
  <si>
    <t>-9(13).99</t>
  </si>
  <si>
    <r>
      <t xml:space="preserve">Amount that Medicare paid on the claim. </t>
    </r>
    <r>
      <rPr>
        <vertAlign val="superscript"/>
        <sz val="10"/>
        <color rgb="FF000000"/>
        <rFont val="Arial"/>
      </rPr>
      <t>H</t>
    </r>
  </si>
  <si>
    <t>Claim NCH Primary Payer Code</t>
  </si>
  <si>
    <r>
      <rPr>
        <sz val="10"/>
        <color rgb="FF000000"/>
        <rFont val="Arial"/>
      </rPr>
      <t xml:space="preserve">If a payer other than Medicare has primary responsibility for payment of the beneficiary’s health insurance bills, this code indicates the responsible primary payer. </t>
    </r>
    <r>
      <rPr>
        <vertAlign val="superscript"/>
        <sz val="10"/>
        <color rgb="FF000000"/>
        <rFont val="Arial"/>
      </rPr>
      <t xml:space="preserve">H
</t>
    </r>
    <r>
      <rPr>
        <sz val="10"/>
        <color rgb="FF000000"/>
        <rFont val="Arial"/>
      </rPr>
      <t xml:space="preserve">If this field is blank, Medicare is the primary payer for the beneficiary.
Find </t>
    </r>
    <r>
      <rPr>
        <u/>
        <sz val="10"/>
        <color rgb="FF0000FF"/>
        <rFont val="Arial"/>
      </rPr>
      <t>NCH Primary Payer Code</t>
    </r>
    <r>
      <rPr>
        <sz val="10"/>
        <color rgb="FF0000FF"/>
        <rFont val="Arial"/>
      </rPr>
      <t xml:space="preserve"> </t>
    </r>
    <r>
      <rPr>
        <sz val="10"/>
        <color rgb="FF000000"/>
        <rFont val="Arial"/>
      </rPr>
      <t>at the ResDAC website.</t>
    </r>
  </si>
  <si>
    <t>PRVDR_FAC_FIPS_ST_CD</t>
  </si>
  <si>
    <t>Federal Information Processing Standards (FIPS) State Code</t>
  </si>
  <si>
    <t>Beneficiary Patient Status Code</t>
  </si>
  <si>
    <r>
      <rPr>
        <sz val="10"/>
        <color rgb="FF000000"/>
        <rFont val="Arial"/>
      </rPr>
      <t xml:space="preserve">Indicates the patient's discharge status as of the Claim Through Date. For example, it may indicate where a patient was discharged to (e.g., home, another facility) or the circumstances of a discharge (e.g., against medical advice, or patient death). </t>
    </r>
    <r>
      <rPr>
        <vertAlign val="superscript"/>
        <sz val="10"/>
        <color rgb="FF000000"/>
        <rFont val="Arial"/>
      </rPr>
      <t xml:space="preserve">I H
</t>
    </r>
    <r>
      <rPr>
        <sz val="10"/>
        <color rgb="FF000000"/>
        <rFont val="Arial"/>
      </rPr>
      <t xml:space="preserve">Find </t>
    </r>
    <r>
      <rPr>
        <u/>
        <sz val="10"/>
        <color rgb="FF0000FF"/>
        <rFont val="Arial"/>
      </rPr>
      <t>Patient Discharge Status </t>
    </r>
    <r>
      <rPr>
        <sz val="10"/>
        <color rgb="FF0000FF"/>
        <rFont val="Arial"/>
      </rPr>
      <t xml:space="preserve"> </t>
    </r>
    <r>
      <rPr>
        <u/>
        <sz val="10"/>
        <color rgb="FF0000FF"/>
        <rFont val="Arial"/>
      </rPr>
      <t>Code</t>
    </r>
    <r>
      <rPr>
        <sz val="10"/>
        <color rgb="FF0000FF"/>
        <rFont val="Arial"/>
      </rPr>
      <t xml:space="preserve"> </t>
    </r>
    <r>
      <rPr>
        <sz val="10"/>
        <color rgb="FF000000"/>
        <rFont val="Arial"/>
      </rPr>
      <t>at the ResDAC website.</t>
    </r>
  </si>
  <si>
    <t>Diagnosis Related Group Code</t>
  </si>
  <si>
    <t>X(04)</t>
  </si>
  <si>
    <r>
      <t xml:space="preserve">Indicates the diagnostic related group to which a hospital claim belongs for prospective payment purposes. </t>
    </r>
    <r>
      <rPr>
        <vertAlign val="superscript"/>
        <sz val="10"/>
        <color rgb="FF000000"/>
        <rFont val="Arial"/>
      </rPr>
      <t>I H</t>
    </r>
  </si>
  <si>
    <t>A code reported by the provider that indicates the specific type of claim (Inpatient, Outpatient, etc.). I H
Claim Outpatient Service Type Code include:
0 = Blank
1 = Emergency (The patient required immediate medical intervention because of severe life threatening or potentially disabling conditions. Generally, the patient was admitted through the emergency room)
2 = Urgent (The patient required immediate attention for the care and treatment of a physical or mental disorder. Generally, the patient was admitted to the available and suitable accommodation)
3 = Elective (The patient's condition permitted adequate time to schedule the availability of suitable accommodations)
5 = Reserved
6 = Reserved
7 = Reserved
8 = Reserved
9 = Unknown (Information not available)</t>
  </si>
  <si>
    <t>FAC_PRVDR_NPI_NUM</t>
  </si>
  <si>
    <t>Facility Provider NPI Number</t>
  </si>
  <si>
    <t>X(10)</t>
  </si>
  <si>
    <t>Identifies the facility associated with the claim. Each facility is assigned its own unique NPI.</t>
  </si>
  <si>
    <t>OPRTG_PRVDR_NPI_NUM</t>
  </si>
  <si>
    <t>Operating Provider NPI Number</t>
  </si>
  <si>
    <t>Identifies the operating provider associated with the claim. Each provider is assigned its own unique NPI.</t>
  </si>
  <si>
    <t>ATNDG_PRVDR_NPI_NUM</t>
  </si>
  <si>
    <t>Attending Provider NPI Number</t>
  </si>
  <si>
    <t>Identifies the attending provider associated with the claim. Each provider is assigned its own unique NPI.</t>
  </si>
  <si>
    <t>OTHR_PRVDR_NPI_NUM</t>
  </si>
  <si>
    <t>Other Provider NPI Number</t>
  </si>
  <si>
    <t>Identifies the other providers associated with the claim. Each provider is assigned its own unique NPI.</t>
  </si>
  <si>
    <t>CLM_ADJSMT_TYPE_CD</t>
  </si>
  <si>
    <t>Indicates whether the claim is an original, cancellation, or adjustment claim.
Claim Adjustment Type Code include:
0 = Original Claim
1 = Cancellation Claim
2 = Adjustment claim</t>
  </si>
  <si>
    <r>
      <t xml:space="preserve">Date the claim was processed and added to the NCH. Also referred to as the NCH Weekly Processing Date. </t>
    </r>
    <r>
      <rPr>
        <vertAlign val="superscript"/>
        <sz val="10"/>
        <color rgb="FF000000"/>
        <rFont val="Arial"/>
      </rPr>
      <t>H</t>
    </r>
  </si>
  <si>
    <t>When the claim was loaded into the IDR.</t>
  </si>
  <si>
    <t>BENE_EQTBL_BIC_HICN_NUM</t>
  </si>
  <si>
    <t>Beneficiary Equitable BIC HICN Number</t>
  </si>
  <si>
    <r>
      <t xml:space="preserve">Legacy Beneficiary Equitable BIC HICN Number.
</t>
    </r>
    <r>
      <rPr>
        <b/>
        <sz val="10"/>
        <color rgb="FF000000"/>
        <rFont val="Arial"/>
      </rPr>
      <t>Note</t>
    </r>
    <r>
      <rPr>
        <sz val="10"/>
        <color rgb="FF000000"/>
        <rFont val="Arial"/>
      </rPr>
      <t xml:space="preserve">: </t>
    </r>
    <r>
      <rPr>
        <i/>
        <sz val="10"/>
        <color rgb="FF000000"/>
        <rFont val="Arial"/>
      </rPr>
      <t>To comply with MACRA of 2015, after the end of the New Medicare Card Transition Period in December 2019, MBI will be accepted on claims, and the HICN value/ Beneficiary Equitable BIC HICN Number will no longer be displayed. The Beneficiary Equitable BIC HICN Number will be blank in CCLFs generated effective January 1, 2020, onwards.</t>
    </r>
  </si>
  <si>
    <t>X(2)</t>
  </si>
  <si>
    <t>Indicates the type and priority of inpatient services. I H
Claim Admission Type Code include:
0 = Blank
1 = Emergency
2 = Urgent
3 = Elective
4 = Newborn
5 = Trauma Center
6-8 = Reserved
9 = Unknown</t>
  </si>
  <si>
    <t>Claim Admission Source Code</t>
  </si>
  <si>
    <r>
      <rPr>
        <sz val="10"/>
        <color rgb="FF000000"/>
        <rFont val="Arial"/>
      </rPr>
      <t xml:space="preserve">Indicates the source of the beneficiary’s referral for admission or visit (e.g., a physician or another facility).
Find </t>
    </r>
    <r>
      <rPr>
        <u/>
        <sz val="10"/>
        <color rgb="FF0000FF"/>
        <rFont val="Arial"/>
      </rPr>
      <t>Admission Source Code</t>
    </r>
    <r>
      <rPr>
        <sz val="10"/>
        <color rgb="FF0000FF"/>
        <rFont val="Arial"/>
      </rPr>
      <t xml:space="preserve"> </t>
    </r>
    <r>
      <rPr>
        <sz val="10"/>
        <color rgb="FF000000"/>
        <rFont val="Arial"/>
      </rPr>
      <t>at the ResDAC website.</t>
    </r>
  </si>
  <si>
    <t>Claim Bill Frequency Code</t>
  </si>
  <si>
    <r>
      <rPr>
        <sz val="10"/>
        <color rgb="FF000000"/>
        <rFont val="Arial"/>
      </rPr>
      <t xml:space="preserve">The third digit of the type of bill (TOB3) code. It indicates the sequence of the claim in the beneficiary's current episode of care (e.g., interim or voided).
Find </t>
    </r>
    <r>
      <rPr>
        <u/>
        <sz val="10"/>
        <color rgb="FF0000FF"/>
        <rFont val="Arial"/>
      </rPr>
      <t>Claim Frequency Code</t>
    </r>
    <r>
      <rPr>
        <sz val="10"/>
        <color rgb="FF0000FF"/>
        <rFont val="Arial"/>
      </rPr>
      <t xml:space="preserve"> </t>
    </r>
    <r>
      <rPr>
        <sz val="10"/>
        <color rgb="FF000000"/>
        <rFont val="Arial"/>
      </rPr>
      <t>at the ResDAC website.</t>
    </r>
  </si>
  <si>
    <t>Indicates the type of claim record being processed with respect to payment (e.g., debit/credit indicator or interim/final indicator).
Claim Query Code include:
0 = Credit adjustment
1 = Interim bill
2 = HHA benefits exhausted
3 = Final bill
4 = Discharge notice
5 = Debit adjustment</t>
  </si>
  <si>
    <t>DGNS_PRCDR_ICD_IND</t>
  </si>
  <si>
    <t>ICD Version Indicator</t>
  </si>
  <si>
    <t>9 = ICD-9
0 = ICD-10
U = any value other than “9” or “0” in the source data.</t>
  </si>
  <si>
    <t>CLM_MDCR_INSTNL_TOT_CHRG_AMT</t>
  </si>
  <si>
    <t>Total Claim Charge Amount</t>
  </si>
  <si>
    <t>-9(11).99</t>
  </si>
  <si>
    <t>Effective with NCH Version G, the total charges for all services included on the institutional claim. This field is redundant with revenue center code 0001/total charges.</t>
  </si>
  <si>
    <t>Claim Capital Indirect Medical Education Amount</t>
  </si>
  <si>
    <r>
      <t xml:space="preserve">The amount of the indirect medical education (IME) (reimbursable amount for teaching hospitals only; an added amount passed by Congress to augment normal Prospective Payment System [PPS] payments for teaching hospitals to compensate them for higher patient costs resulting from medical education programs for interns and residents) portion of the PPS payment for capital.
</t>
    </r>
    <r>
      <rPr>
        <b/>
        <sz val="10"/>
        <color rgb="FF000000"/>
        <rFont val="Arial"/>
      </rPr>
      <t>Note</t>
    </r>
    <r>
      <rPr>
        <sz val="10"/>
        <color rgb="FF000000"/>
        <rFont val="Arial"/>
      </rPr>
      <t xml:space="preserve">: </t>
    </r>
    <r>
      <rPr>
        <i/>
        <sz val="10"/>
        <color rgb="FF000000"/>
        <rFont val="Arial"/>
      </rPr>
      <t>Applicable for claim type = 60 and total calculated based on debit credit methodology.</t>
    </r>
  </si>
  <si>
    <t>CLM_OPRTNL_IME_AMT</t>
  </si>
  <si>
    <t>Claim Operational Indirect Medical Education Amount</t>
  </si>
  <si>
    <t>-9(18).99</t>
  </si>
  <si>
    <r>
      <t xml:space="preserve">The indirect medical education amount applicable to the bill. (Do not include PPS capital IME adjustment in this entry).
</t>
    </r>
    <r>
      <rPr>
        <b/>
        <sz val="10"/>
        <color rgb="FF000000"/>
        <rFont val="Arial"/>
      </rPr>
      <t>Note</t>
    </r>
    <r>
      <rPr>
        <sz val="10"/>
        <color rgb="FF000000"/>
        <rFont val="Arial"/>
      </rPr>
      <t xml:space="preserve">: </t>
    </r>
    <r>
      <rPr>
        <i/>
        <sz val="10"/>
        <color rgb="FF000000"/>
        <rFont val="Arial"/>
      </rPr>
      <t>Applicable for claim type = 60 and total calculated based on debit credit methodology.</t>
    </r>
  </si>
  <si>
    <t>Claim Capital Disproportionate Amount</t>
  </si>
  <si>
    <r>
      <t xml:space="preserve">Effective 3/2/92, the amount of disproportionate share (rate reflecting indigent population served) portion of the PPS payment for capital. [NCH]
</t>
    </r>
    <r>
      <rPr>
        <b/>
        <sz val="10"/>
        <color rgb="FF000000"/>
        <rFont val="Arial"/>
      </rPr>
      <t>Note</t>
    </r>
    <r>
      <rPr>
        <sz val="10"/>
        <color rgb="FF000000"/>
        <rFont val="Arial"/>
      </rPr>
      <t xml:space="preserve">: </t>
    </r>
    <r>
      <rPr>
        <i/>
        <sz val="10"/>
        <color rgb="FF000000"/>
        <rFont val="Arial"/>
      </rPr>
      <t>Applicable for claim type = 60 and total calculated based on debit credit methodology.</t>
    </r>
  </si>
  <si>
    <t>Claim Health Insurance Prospective Payment System Uncompens ated Care Amount</t>
  </si>
  <si>
    <r>
      <t xml:space="preserve">This is a payment for DSH hospitals as part of Section 3133 of ACA. It represents the uncompensated care amount of the payment.
</t>
    </r>
    <r>
      <rPr>
        <b/>
        <sz val="10"/>
        <color rgb="FF000000"/>
        <rFont val="Arial"/>
      </rPr>
      <t>Note</t>
    </r>
    <r>
      <rPr>
        <sz val="10"/>
        <color rgb="FF000000"/>
        <rFont val="Arial"/>
      </rPr>
      <t xml:space="preserve">: </t>
    </r>
    <r>
      <rPr>
        <i/>
        <sz val="10"/>
        <color rgb="FF000000"/>
        <rFont val="Arial"/>
      </rPr>
      <t>Applicable for claim types = (10, 20, 30, 40, 50, 60) and total
calculated based on debit credit methodology.</t>
    </r>
  </si>
  <si>
    <t>CLM_OPRTNL_DSPRPRTNT_AMT</t>
  </si>
  <si>
    <t>Claim Operational disproportionate Amount</t>
  </si>
  <si>
    <r>
      <t xml:space="preserve">The disproportionate share amount applicable to the bill. Use the amount provided by the disproportionate share field in PRICER. (Do not include any PPS capital DSH adjustment in this entry).
</t>
    </r>
    <r>
      <rPr>
        <b/>
        <sz val="10"/>
        <color rgb="FF000000"/>
        <rFont val="Arial"/>
      </rPr>
      <t>Note</t>
    </r>
    <r>
      <rPr>
        <sz val="10"/>
        <color rgb="FF000000"/>
        <rFont val="Arial"/>
      </rPr>
      <t xml:space="preserve">: </t>
    </r>
    <r>
      <rPr>
        <i/>
        <sz val="10"/>
        <color rgb="FF000000"/>
        <rFont val="Arial"/>
      </rPr>
      <t>Applicable for claim type = 60 and total calculated based on debit credit methodology.</t>
    </r>
  </si>
  <si>
    <t>Claim Provider OSCAR Number</t>
  </si>
  <si>
    <t>x(20)</t>
  </si>
  <si>
    <r>
      <t xml:space="preserve">A facility’s Medicare/Medicaid identification number. It is also known as a Medicare/Medicaid Provider Number, or CCN. This number verifies that a provider has been Medicare certified for a particular type of service.
</t>
    </r>
    <r>
      <rPr>
        <b/>
        <sz val="10"/>
        <color rgb="FF000000"/>
        <rFont val="Arial"/>
      </rPr>
      <t xml:space="preserve">Notes:
</t>
    </r>
    <r>
      <rPr>
        <sz val="10"/>
        <color rgb="FF000000"/>
        <rFont val="Arial"/>
      </rPr>
      <t xml:space="preserve">     </t>
    </r>
    <r>
      <rPr>
        <i/>
        <sz val="10"/>
        <color rgb="FF1D1C1D"/>
        <rFont val="Arial"/>
      </rPr>
      <t xml:space="preserve">From January 2022 onward, for Shared Savings Program, </t>
    </r>
    <r>
      <rPr>
        <i/>
        <sz val="10"/>
        <color rgb="FF000000"/>
        <rFont val="Arial"/>
      </rPr>
      <t>ACO REACH</t>
    </r>
    <r>
      <rPr>
        <i/>
        <sz val="10"/>
        <color rgb="FF1D1C1D"/>
        <rFont val="Arial"/>
      </rPr>
      <t xml:space="preserve">, KCC, VTAPM,
and PCF models, this value is sourced from the Medicare claims processing system.
</t>
    </r>
    <r>
      <rPr>
        <sz val="10"/>
        <color rgb="FF000000"/>
        <rFont val="Arial"/>
      </rPr>
      <t xml:space="preserve">     </t>
    </r>
    <r>
      <rPr>
        <i/>
        <sz val="10"/>
        <color rgb="FF1D1C1D"/>
        <rFont val="Arial"/>
      </rPr>
      <t>This field is included in addition to the Element 2 “</t>
    </r>
    <r>
      <rPr>
        <i/>
        <sz val="10"/>
        <color rgb="FF000000"/>
        <rFont val="Arial"/>
      </rPr>
      <t xml:space="preserve">Provider OSCAR Number” </t>
    </r>
    <r>
      <rPr>
        <i/>
        <sz val="10"/>
        <color rgb="FF1D1C1D"/>
        <rFont val="Arial"/>
      </rPr>
      <t>sourced from Provider Enrollment Change of Ownership System (PECOS).</t>
    </r>
  </si>
  <si>
    <t>CLM_BLG_PRVDR_NPI_NUM</t>
  </si>
  <si>
    <t>Claim Facility Provider NPI Number</t>
  </si>
  <si>
    <t>x(10)</t>
  </si>
  <si>
    <r>
      <t xml:space="preserve">Identifies the facility associated with the claim. Each facility is assigned its own unique NPI.
</t>
    </r>
    <r>
      <rPr>
        <b/>
        <sz val="10"/>
        <color rgb="FF000000"/>
        <rFont val="Arial"/>
      </rPr>
      <t xml:space="preserve">Notes:
</t>
    </r>
    <r>
      <rPr>
        <sz val="10"/>
        <color rgb="FF000000"/>
        <rFont val="Arial"/>
      </rPr>
      <t xml:space="preserve">     </t>
    </r>
    <r>
      <rPr>
        <i/>
        <sz val="10"/>
        <color rgb="FF1D1C1D"/>
        <rFont val="Arial"/>
      </rPr>
      <t xml:space="preserve">From January 2022 onward, for Shared Savings Program, </t>
    </r>
    <r>
      <rPr>
        <i/>
        <sz val="10"/>
        <color rgb="FF000000"/>
        <rFont val="Arial"/>
      </rPr>
      <t>ACO REACH</t>
    </r>
    <r>
      <rPr>
        <i/>
        <sz val="10"/>
        <color rgb="FF1D1C1D"/>
        <rFont val="Arial"/>
      </rPr>
      <t xml:space="preserve">, KCC, VTAPM,
and PCF models, this value is sourced from the Medicare claims processing system.
</t>
    </r>
    <r>
      <rPr>
        <sz val="10"/>
        <color rgb="FF000000"/>
        <rFont val="Arial"/>
      </rPr>
      <t xml:space="preserve">     </t>
    </r>
    <r>
      <rPr>
        <i/>
        <sz val="10"/>
        <color rgb="FF1D1C1D"/>
        <rFont val="Arial"/>
      </rPr>
      <t>This field is included in addition to the Element 19 “</t>
    </r>
    <r>
      <rPr>
        <i/>
        <sz val="10"/>
        <color rgb="FF000000"/>
        <rFont val="Arial"/>
      </rPr>
      <t xml:space="preserve">Facility Provider NPI Number” </t>
    </r>
    <r>
      <rPr>
        <i/>
        <sz val="10"/>
        <color rgb="FF1D1C1D"/>
        <rFont val="Arial"/>
      </rPr>
      <t>sourced from PECOS.</t>
    </r>
  </si>
  <si>
    <t>CLM_OPRTG_PRVDR_NPI_NUM</t>
  </si>
  <si>
    <t>Claim Operating Provider NPI Number</t>
  </si>
  <si>
    <r>
      <t xml:space="preserve">Identifies the operating provider associated with the claim. Each provider is assigned its own unique NPI.
</t>
    </r>
    <r>
      <rPr>
        <b/>
        <sz val="10"/>
        <color rgb="FF000000"/>
        <rFont val="Arial"/>
      </rPr>
      <t xml:space="preserve">Notes:
</t>
    </r>
    <r>
      <rPr>
        <sz val="10"/>
        <color rgb="FF000000"/>
        <rFont val="Arial"/>
      </rPr>
      <t xml:space="preserve">     </t>
    </r>
    <r>
      <rPr>
        <i/>
        <sz val="10"/>
        <color rgb="FF1D1C1D"/>
        <rFont val="Arial"/>
      </rPr>
      <t xml:space="preserve">From January 2022 onward, for Shared Savings Program, </t>
    </r>
    <r>
      <rPr>
        <i/>
        <sz val="10"/>
        <color rgb="FF000000"/>
        <rFont val="Arial"/>
      </rPr>
      <t>ACO REACH</t>
    </r>
    <r>
      <rPr>
        <i/>
        <sz val="10"/>
        <color rgb="FF1D1C1D"/>
        <rFont val="Arial"/>
      </rPr>
      <t xml:space="preserve">, KCC, VTAPM,
and PCF models, this value is sourced from the Medicare claims processing system.
</t>
    </r>
    <r>
      <rPr>
        <sz val="10"/>
        <color rgb="FF000000"/>
        <rFont val="Arial"/>
      </rPr>
      <t xml:space="preserve">     </t>
    </r>
    <r>
      <rPr>
        <i/>
        <sz val="10"/>
        <color rgb="FF1D1C1D"/>
        <rFont val="Arial"/>
      </rPr>
      <t>This field is included in addition to the Element 20 “</t>
    </r>
    <r>
      <rPr>
        <i/>
        <sz val="10"/>
        <color rgb="FF000000"/>
        <rFont val="Arial"/>
      </rPr>
      <t xml:space="preserve">Operating Provider NPI Number” </t>
    </r>
    <r>
      <rPr>
        <i/>
        <sz val="10"/>
        <color rgb="FF1D1C1D"/>
        <rFont val="Arial"/>
      </rPr>
      <t>sourced from PECOS</t>
    </r>
    <r>
      <rPr>
        <sz val="10"/>
        <color rgb="FF1D1C1D"/>
        <rFont val="Arial"/>
      </rPr>
      <t>.</t>
    </r>
  </si>
  <si>
    <t>CLM_ATNDG_PRVDR_NPI_NUM</t>
  </si>
  <si>
    <t>Claim Attending Provider NPI Number</t>
  </si>
  <si>
    <r>
      <t xml:space="preserve">Identifies the attending provider associated with the claim. Each provider is assigned its own unique NPI.
</t>
    </r>
    <r>
      <rPr>
        <b/>
        <sz val="10"/>
        <color rgb="FF000000"/>
        <rFont val="Arial"/>
      </rPr>
      <t xml:space="preserve">Notes:
</t>
    </r>
    <r>
      <rPr>
        <sz val="10"/>
        <color rgb="FF000000"/>
        <rFont val="Arial"/>
      </rPr>
      <t xml:space="preserve">     </t>
    </r>
    <r>
      <rPr>
        <i/>
        <sz val="10"/>
        <color rgb="FF1D1C1D"/>
        <rFont val="Arial"/>
      </rPr>
      <t xml:space="preserve">From January 2022 onward, for Shared Savings Program, </t>
    </r>
    <r>
      <rPr>
        <i/>
        <sz val="10"/>
        <color rgb="FF000000"/>
        <rFont val="Arial"/>
      </rPr>
      <t>ACO REACH</t>
    </r>
    <r>
      <rPr>
        <i/>
        <sz val="10"/>
        <color rgb="FF1D1C1D"/>
        <rFont val="Arial"/>
      </rPr>
      <t xml:space="preserve">, KCC, VTAPM,
and PCF models, this value is sourced from the Medicare claims processing system.
</t>
    </r>
    <r>
      <rPr>
        <sz val="10"/>
        <color rgb="FF000000"/>
        <rFont val="Arial"/>
      </rPr>
      <t xml:space="preserve">     </t>
    </r>
    <r>
      <rPr>
        <i/>
        <sz val="10"/>
        <color rgb="FF1D1C1D"/>
        <rFont val="Arial"/>
      </rPr>
      <t>This field is included in addition to the Element 21 “</t>
    </r>
    <r>
      <rPr>
        <i/>
        <sz val="10"/>
        <color rgb="FF000000"/>
        <rFont val="Arial"/>
      </rPr>
      <t xml:space="preserve">Attending Provider NPI Number” </t>
    </r>
    <r>
      <rPr>
        <i/>
        <sz val="10"/>
        <color rgb="FF1D1C1D"/>
        <rFont val="Arial"/>
      </rPr>
      <t>sourced from PECOS.</t>
    </r>
  </si>
  <si>
    <t>CLM_OTHR_PRVDR_NPI_NUM</t>
  </si>
  <si>
    <t>Claim Other Provider NPI Number</t>
  </si>
  <si>
    <r>
      <t xml:space="preserve">Identifies the other providers associated with the claim. Each provider is assigned its own unique NPI.
</t>
    </r>
    <r>
      <rPr>
        <b/>
        <sz val="10"/>
        <color rgb="FF000000"/>
        <rFont val="Arial"/>
      </rPr>
      <t xml:space="preserve">Notes:
</t>
    </r>
    <r>
      <rPr>
        <sz val="10"/>
        <color rgb="FF000000"/>
        <rFont val="Arial"/>
      </rPr>
      <t xml:space="preserve">     </t>
    </r>
    <r>
      <rPr>
        <i/>
        <sz val="10"/>
        <color rgb="FF1D1C1D"/>
        <rFont val="Arial"/>
      </rPr>
      <t xml:space="preserve">From January 2022 onward, for Shared Savings Program, </t>
    </r>
    <r>
      <rPr>
        <i/>
        <sz val="10"/>
        <color rgb="FF000000"/>
        <rFont val="Arial"/>
      </rPr>
      <t>ACO REACH</t>
    </r>
    <r>
      <rPr>
        <i/>
        <sz val="10"/>
        <color rgb="FF1D1C1D"/>
        <rFont val="Arial"/>
      </rPr>
      <t xml:space="preserve">, KCC, VTAPM,
and PCF models, this value is sourced from the Medicare claims processing system.
</t>
    </r>
    <r>
      <rPr>
        <sz val="10"/>
        <color rgb="FF000000"/>
        <rFont val="Arial"/>
      </rPr>
      <t xml:space="preserve">     </t>
    </r>
    <r>
      <rPr>
        <i/>
        <sz val="10"/>
        <color rgb="FF1D1C1D"/>
        <rFont val="Arial"/>
      </rPr>
      <t>This field is included in addition to the Element 22 “</t>
    </r>
    <r>
      <rPr>
        <i/>
        <sz val="10"/>
        <color rgb="FF000000"/>
        <rFont val="Arial"/>
      </rPr>
      <t xml:space="preserve">Other Provider NPI Number” </t>
    </r>
    <r>
      <rPr>
        <i/>
        <sz val="10"/>
        <color rgb="FF1D1C1D"/>
        <rFont val="Arial"/>
      </rPr>
      <t>sourced from PECOS.</t>
    </r>
  </si>
  <si>
    <t>x(40)</t>
  </si>
  <si>
    <t>An identifier assigned by the claim processor (i.e., MAC, Part D Plan, or Encounter Data Processing Contractor) to a claim.</t>
  </si>
  <si>
    <t>CLM_ORG_CNTL_NUM</t>
  </si>
  <si>
    <r>
      <t xml:space="preserve">Claim </t>
    </r>
    <r>
      <rPr>
        <sz val="10"/>
        <color rgb="FF1D1C1D"/>
        <rFont val="Arial"/>
      </rPr>
      <t>Original Control Number</t>
    </r>
  </si>
  <si>
    <t>A unique number assigned by the state’s payment system that identifies an original claim.</t>
  </si>
  <si>
    <t>Claim Contractor Number</t>
  </si>
  <si>
    <t>x(5)</t>
  </si>
  <si>
    <t>A number assigned by CMS identifying a MAC authorized to process Medicare claims.</t>
  </si>
  <si>
    <t>CCLF2</t>
  </si>
  <si>
    <t>Claim Line Number</t>
  </si>
  <si>
    <t>9(10)</t>
  </si>
  <si>
    <t>A sequential number that identifies a specific claim line.</t>
  </si>
  <si>
    <r>
      <t xml:space="preserve">A Medicare Beneficiary Identifier assigned to a beneficiary. </t>
    </r>
    <r>
      <rPr>
        <vertAlign val="superscript"/>
        <sz val="10"/>
        <color rgb="FF000000"/>
        <rFont val="Arial"/>
      </rPr>
      <t>I H</t>
    </r>
  </si>
  <si>
    <r>
      <t xml:space="preserve">Legacy Beneficiary HICN field.
</t>
    </r>
    <r>
      <rPr>
        <b/>
        <sz val="10"/>
        <color rgb="FF000000"/>
        <rFont val="Arial"/>
      </rPr>
      <t>Note</t>
    </r>
    <r>
      <rPr>
        <sz val="10"/>
        <color rgb="FF000000"/>
        <rFont val="Arial"/>
      </rPr>
      <t xml:space="preserve">: </t>
    </r>
    <r>
      <rPr>
        <i/>
        <sz val="10"/>
        <color rgb="FF000000"/>
        <rFont val="Arial"/>
      </rPr>
      <t>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t>
    </r>
  </si>
  <si>
    <t>Signifies the type of claim being submitted through the Medicare or Medicaid programs. H
Claim type code include: 
10 = HHA claim
20 = Non swing bed SNF claim
30 = Swing bed SNF claim
40 = Outpatient claim 
50 = Hospice claim
60 = Inpatient claim
61 = Inpatient “Full- Encounter” claim</t>
  </si>
  <si>
    <t>Claim Line From Date</t>
  </si>
  <si>
    <r>
      <t xml:space="preserve">The date the service associated with the line item began. </t>
    </r>
    <r>
      <rPr>
        <vertAlign val="superscript"/>
        <sz val="10"/>
        <color rgb="FF000000"/>
        <rFont val="Arial"/>
      </rPr>
      <t>H</t>
    </r>
  </si>
  <si>
    <t>Claim Line Thru Date</t>
  </si>
  <si>
    <r>
      <t xml:space="preserve">The date the service associated with the line item ended. </t>
    </r>
    <r>
      <rPr>
        <vertAlign val="superscript"/>
        <sz val="10"/>
        <color rgb="FF000000"/>
        <rFont val="Arial"/>
      </rPr>
      <t>H</t>
    </r>
  </si>
  <si>
    <t>CLM_LINE_PROD_REV_CTR_CD</t>
  </si>
  <si>
    <t>Product Revenue Center Code</t>
  </si>
  <si>
    <r>
      <rPr>
        <sz val="10"/>
        <color rgb="FF000000"/>
        <rFont val="Arial"/>
      </rPr>
      <t xml:space="preserve">The number a provider assigns to the cost center to which a particular charge is billed (e.g., accommodations or supplies).
A cost center is a division or unit within a hospital (e.g., radiology, emergency room, pathology).
Find </t>
    </r>
    <r>
      <rPr>
        <u/>
        <sz val="10"/>
        <color rgb="FF0000FF"/>
        <rFont val="Arial"/>
      </rPr>
      <t>Revenue Center </t>
    </r>
    <r>
      <rPr>
        <sz val="10"/>
        <color rgb="FF0000FF"/>
        <rFont val="Arial"/>
      </rPr>
      <t xml:space="preserve"> </t>
    </r>
    <r>
      <rPr>
        <u/>
        <sz val="10"/>
        <color rgb="FF0000FF"/>
        <rFont val="Arial"/>
      </rPr>
      <t>Code</t>
    </r>
    <r>
      <rPr>
        <sz val="10"/>
        <color rgb="FF0000FF"/>
        <rFont val="Arial"/>
      </rPr>
      <t xml:space="preserve"> </t>
    </r>
    <r>
      <rPr>
        <sz val="10"/>
        <color rgb="FF000000"/>
        <rFont val="Arial"/>
      </rPr>
      <t>at the ResDAC website.
Revenue center code 0001 represents the total of all revenue centers included on the claim.</t>
    </r>
  </si>
  <si>
    <t>Claim Line Institutional Revenue Center Date</t>
  </si>
  <si>
    <t>The date that applies to the service associated with the Revenue Center code.</t>
  </si>
  <si>
    <t>HCPCS Code</t>
  </si>
  <si>
    <t>X(05)</t>
  </si>
  <si>
    <r>
      <rPr>
        <sz val="10"/>
        <color rgb="FF000000"/>
        <rFont val="Arial"/>
      </rPr>
      <t xml:space="preserve">The HCPCS code representing the procedure, supply, product, and/or service provided to the beneficiary.
</t>
    </r>
    <r>
      <rPr>
        <b/>
        <sz val="10"/>
        <color rgb="FF000000"/>
        <rFont val="Arial"/>
      </rPr>
      <t>Note</t>
    </r>
    <r>
      <rPr>
        <sz val="10"/>
        <color rgb="FF000000"/>
        <rFont val="Arial"/>
      </rPr>
      <t xml:space="preserve">: </t>
    </r>
    <r>
      <rPr>
        <i/>
        <u/>
        <sz val="10"/>
        <color rgb="FF0000FF"/>
        <rFont val="Arial"/>
      </rPr>
      <t>Health Insurance </t>
    </r>
    <r>
      <rPr>
        <i/>
        <sz val="10"/>
        <color rgb="FF0000FF"/>
        <rFont val="Arial"/>
      </rPr>
      <t xml:space="preserve"> </t>
    </r>
    <r>
      <rPr>
        <i/>
        <u/>
        <sz val="10"/>
        <color rgb="FF0000FF"/>
        <rFont val="Arial"/>
      </rPr>
      <t>Prospective Payment </t>
    </r>
    <r>
      <rPr>
        <i/>
        <sz val="10"/>
        <color rgb="FF0000FF"/>
        <rFont val="Arial"/>
      </rPr>
      <t xml:space="preserve"> </t>
    </r>
    <r>
      <rPr>
        <i/>
        <u/>
        <sz val="10"/>
        <color rgb="FF0000FF"/>
        <rFont val="Arial"/>
      </rPr>
      <t>System (HIPPS) code</t>
    </r>
    <r>
      <rPr>
        <i/>
        <sz val="10"/>
        <color rgb="FF0000FF"/>
        <rFont val="Arial"/>
      </rPr>
      <t xml:space="preserve"> </t>
    </r>
    <r>
      <rPr>
        <i/>
        <sz val="10"/>
        <color rgb="FF000000"/>
        <rFont val="Arial"/>
      </rPr>
      <t>may be available when the Product Revenue Center Code is “0022” (SNF Prospective Payment System).</t>
    </r>
  </si>
  <si>
    <r>
      <t xml:space="preserve">Legacy Beneficiary Equitable BIC HICN Number.
</t>
    </r>
    <r>
      <rPr>
        <b/>
        <sz val="10"/>
        <color rgb="FF000000"/>
        <rFont val="Arial"/>
      </rPr>
      <t xml:space="preserve">Note: </t>
    </r>
    <r>
      <rPr>
        <i/>
        <sz val="10"/>
        <color rgb="FF000000"/>
        <rFont val="Arial"/>
      </rPr>
      <t>To comply with MACRA of 2015, after the end of the New Medicare Card Transition Period in December 2019, only the MBI will be accepted on claims, and the HICN value/ Beneficiary Equitable BIC HICN Number will no longer be displayed. The Beneficiary Equitable BIC HICN Number will be blank in CCLFs generated effective January 1, 2020, onwards.</t>
    </r>
  </si>
  <si>
    <t>X(6)</t>
  </si>
  <si>
    <r>
      <t xml:space="preserve">A facility’s Medicare/Medicaid identification number, also known as a Medicare/Medicaid Provider Number, or CCN. This number verifies that a provider has been Medicare certified for a particular type of services. </t>
    </r>
    <r>
      <rPr>
        <vertAlign val="superscript"/>
        <sz val="10"/>
        <color rgb="FF000000"/>
        <rFont val="Arial"/>
      </rPr>
      <t>H</t>
    </r>
  </si>
  <si>
    <r>
      <t xml:space="preserve">The first day on the billing statement that covers services rendered to the beneficiary. </t>
    </r>
    <r>
      <rPr>
        <vertAlign val="superscript"/>
        <sz val="10"/>
        <color rgb="FF000000"/>
        <rFont val="Arial"/>
      </rPr>
      <t xml:space="preserve">H
</t>
    </r>
    <r>
      <rPr>
        <sz val="10"/>
        <color rgb="FF000000"/>
        <rFont val="Arial"/>
      </rPr>
      <t>Also known as the “Statement Covers From Date.”</t>
    </r>
  </si>
  <si>
    <t>Claim Line Service Unit Quantity</t>
  </si>
  <si>
    <t>-9(18).9999</t>
  </si>
  <si>
    <r>
      <t xml:space="preserve">Count of total units, at the line-item level, associated with services needing unit reporting (e.g., anesthesia time units and blood units). </t>
    </r>
    <r>
      <rPr>
        <vertAlign val="superscript"/>
        <sz val="10"/>
        <color rgb="FF000000"/>
        <rFont val="Arial"/>
      </rPr>
      <t>H</t>
    </r>
  </si>
  <si>
    <r>
      <t xml:space="preserve">The amount Medicare reimbursed the provider for covered services associated with the claim-line. </t>
    </r>
    <r>
      <rPr>
        <vertAlign val="superscript"/>
        <sz val="10"/>
        <color rgb="FF000000"/>
        <rFont val="Arial"/>
      </rPr>
      <t>H</t>
    </r>
  </si>
  <si>
    <t>HCPCS First Modifier Code</t>
  </si>
  <si>
    <r>
      <t xml:space="preserve">The first code to modify the HCPCS procedure code associated with the claim-line. This provides more specific procedure identification for the line- item service. </t>
    </r>
    <r>
      <rPr>
        <vertAlign val="superscript"/>
        <sz val="10"/>
        <color rgb="FF000000"/>
        <rFont val="Arial"/>
      </rPr>
      <t>H</t>
    </r>
  </si>
  <si>
    <t>HCPCS Second Modifier Code</t>
  </si>
  <si>
    <r>
      <t xml:space="preserve">The second code to modify the HCPCS procedure code associated with the claim-line. This provides more specific procedure identification for the line- item service. </t>
    </r>
    <r>
      <rPr>
        <vertAlign val="superscript"/>
        <sz val="10"/>
        <color rgb="FF000000"/>
        <rFont val="Arial"/>
      </rPr>
      <t>H</t>
    </r>
  </si>
  <si>
    <t>HCPCS Third Modifier Code</t>
  </si>
  <si>
    <r>
      <t xml:space="preserve">The third code to modify the HCPCS procedure code associated with the claim-line. This provides more specific procedure identification for the line- item service. </t>
    </r>
    <r>
      <rPr>
        <vertAlign val="superscript"/>
        <sz val="10"/>
        <color rgb="FF000000"/>
        <rFont val="Arial"/>
      </rPr>
      <t>H</t>
    </r>
  </si>
  <si>
    <t>HCPCS Fourth Modifier Code</t>
  </si>
  <si>
    <r>
      <t xml:space="preserve">The fourth code to modify the HCPCS procedure code associated with the claim-line. This provides more specific procedure identification for the line- item service. </t>
    </r>
    <r>
      <rPr>
        <vertAlign val="superscript"/>
        <sz val="10"/>
        <color rgb="FF000000"/>
        <rFont val="Arial"/>
      </rPr>
      <t>H</t>
    </r>
  </si>
  <si>
    <t>HCPCS Fifth Modifier Code</t>
  </si>
  <si>
    <r>
      <t xml:space="preserve">The fifth code to modify the HCPCS procedure code associated with the claim-line. This provides more specific procedure identification for the line- item service. </t>
    </r>
    <r>
      <rPr>
        <vertAlign val="superscript"/>
        <sz val="10"/>
        <color rgb="FF000000"/>
        <rFont val="Arial"/>
      </rPr>
      <t>H</t>
    </r>
  </si>
  <si>
    <t>Claim Revenue APC HIPPS Code</t>
  </si>
  <si>
    <t>X(5)</t>
  </si>
  <si>
    <t>APC group for outpatient claim type</t>
  </si>
  <si>
    <t>CLM_FAC_PRVDR_OSCAR_NUM</t>
  </si>
  <si>
    <t>Claim Facility Provider OSCAR Number</t>
  </si>
  <si>
    <r>
      <t xml:space="preserve">A facility’s Medicare/Medicaid identification number, also known as a Medicare/Medicaid Provider Number, or CCN. This number verifies that a provider has been Medicare certified for a particular type of services.
</t>
    </r>
    <r>
      <rPr>
        <b/>
        <sz val="10"/>
        <color rgb="FF000000"/>
        <rFont val="Arial"/>
      </rPr>
      <t xml:space="preserve">Notes:
</t>
    </r>
    <r>
      <rPr>
        <sz val="10"/>
        <color rgb="FF000000"/>
        <rFont val="Arial"/>
      </rPr>
      <t xml:space="preserve">     </t>
    </r>
    <r>
      <rPr>
        <i/>
        <sz val="10"/>
        <color rgb="FF000000"/>
        <rFont val="Arial"/>
      </rPr>
      <t xml:space="preserve">From January 2022 onward, for Shared Savings Program, ACO REACH, KCC, VTAPM, and PCF
models, this value is sourced from the Medicare claims processing system.
</t>
    </r>
    <r>
      <rPr>
        <sz val="10"/>
        <color rgb="FF000000"/>
        <rFont val="Arial"/>
      </rPr>
      <t xml:space="preserve">     </t>
    </r>
    <r>
      <rPr>
        <i/>
        <sz val="10"/>
        <color rgb="FF000000"/>
        <rFont val="Arial"/>
      </rPr>
      <t>This field is included in addition to the Element
12 “Provider OSCAR Number”
sourced from PECOS.</t>
    </r>
  </si>
  <si>
    <t>CCLF3</t>
  </si>
  <si>
    <r>
      <t xml:space="preserve">Legacy Beneficiary HICN field.
</t>
    </r>
    <r>
      <rPr>
        <b/>
        <sz val="10"/>
        <color rgb="FF000000"/>
        <rFont val="Arial"/>
      </rPr>
      <t xml:space="preserve">Note: </t>
    </r>
    <r>
      <rPr>
        <i/>
        <sz val="10"/>
        <color rgb="FF000000"/>
        <rFont val="Arial"/>
      </rPr>
      <t>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t>
    </r>
  </si>
  <si>
    <t>Signifies the type of claim being submitted through the Medicare or Medicaid programs. H
Claim type code are: 
10 = HHA claim
20 = Non swing bed SNF claim
30 = Swing bed SNF claim 
40 = Outpatient claim
50 = Hospice claim
60 = Inpatient claim
61 = Inpatient “Full- Encounter” claim</t>
  </si>
  <si>
    <t>CLM_VAL_SQNC_NUM</t>
  </si>
  <si>
    <t>Claim Value Sequence Number</t>
  </si>
  <si>
    <t>9(2)</t>
  </si>
  <si>
    <t>An arbitrary sequential number that uniquely identifies a procedure code record within the claim.</t>
  </si>
  <si>
    <t>Procedure Code</t>
  </si>
  <si>
    <r>
      <t xml:space="preserve">The ICD-9/10 code that indicates the procedure performed during the period covered by the claim. </t>
    </r>
    <r>
      <rPr>
        <vertAlign val="superscript"/>
        <sz val="10"/>
        <color rgb="FF000000"/>
        <rFont val="Arial"/>
      </rPr>
      <t>H</t>
    </r>
  </si>
  <si>
    <r>
      <t xml:space="preserve">The date the indicated procedure was performed. </t>
    </r>
    <r>
      <rPr>
        <vertAlign val="superscript"/>
        <sz val="10"/>
        <color rgb="FF000000"/>
        <rFont val="Arial"/>
      </rPr>
      <t>H</t>
    </r>
  </si>
  <si>
    <r>
      <t xml:space="preserve">Legacy Beneficiary Equitable BIC HICN Number.
</t>
    </r>
    <r>
      <rPr>
        <b/>
        <sz val="10"/>
        <color rgb="FF000000"/>
        <rFont val="Arial"/>
      </rPr>
      <t>Note</t>
    </r>
    <r>
      <rPr>
        <sz val="10"/>
        <color rgb="FF000000"/>
        <rFont val="Arial"/>
      </rPr>
      <t xml:space="preserve">: </t>
    </r>
    <r>
      <rPr>
        <i/>
        <sz val="10"/>
        <color rgb="FF000000"/>
        <rFont val="Arial"/>
      </rPr>
      <t>To comply with MACRA of 2015, after the end of the New Medicare Card Transition Period in December 2019, only the MBI will be accepted on claims, and the HICN value/ Beneficiary Equitable BIC HICN Number will no longer be displayed. The Beneficiary Equitable BIC HICN Number will be blank in CCLFs generated effective January 1, 2020, onwards.</t>
    </r>
  </si>
  <si>
    <r>
      <t xml:space="preserve">A facility’s Medicare/Medicaid identification number. It is also known as a Medicare/Medicaid Provider Number, or CCN. This number verifies that a provider has been Medicare certified for a particular type of services. </t>
    </r>
    <r>
      <rPr>
        <vertAlign val="superscript"/>
        <sz val="10"/>
        <color rgb="FF000000"/>
        <rFont val="Arial"/>
      </rPr>
      <t>H</t>
    </r>
  </si>
  <si>
    <r>
      <t xml:space="preserve">A facility’s Medicare/Medicaid identification number, also known as a Medicare/Medicaid Provider Number, or CCN. This number verifies that a provider has been Medicare certified for a particular type of services.
</t>
    </r>
    <r>
      <rPr>
        <b/>
        <sz val="10"/>
        <color rgb="FF000000"/>
        <rFont val="Arial"/>
      </rPr>
      <t xml:space="preserve">Notes:
</t>
    </r>
    <r>
      <rPr>
        <sz val="10"/>
        <color rgb="FF000000"/>
        <rFont val="Arial"/>
      </rPr>
      <t xml:space="preserve">     </t>
    </r>
    <r>
      <rPr>
        <i/>
        <sz val="10"/>
        <color rgb="FF1D1C1D"/>
        <rFont val="Arial"/>
      </rPr>
      <t xml:space="preserve">From January 2022 onward, for Shared Savings Program, </t>
    </r>
    <r>
      <rPr>
        <i/>
        <sz val="10"/>
        <color rgb="FF000000"/>
        <rFont val="Arial"/>
      </rPr>
      <t>ACO REACH</t>
    </r>
    <r>
      <rPr>
        <i/>
        <sz val="10"/>
        <color rgb="FF1D1C1D"/>
        <rFont val="Arial"/>
      </rPr>
      <t xml:space="preserve">, KCC, VTAPM, and PCF
models, this value is sourced from the Medicare claims processing system.
</t>
    </r>
    <r>
      <rPr>
        <sz val="10"/>
        <color rgb="FF000000"/>
        <rFont val="Arial"/>
      </rPr>
      <t xml:space="preserve">     </t>
    </r>
    <r>
      <rPr>
        <i/>
        <sz val="10"/>
        <color rgb="FF1D1C1D"/>
        <rFont val="Arial"/>
      </rPr>
      <t>This field is included in addition to the Element 9 “</t>
    </r>
    <r>
      <rPr>
        <i/>
        <sz val="10"/>
        <color rgb="FF000000"/>
        <rFont val="Arial"/>
      </rPr>
      <t xml:space="preserve">Provider OSCAR Number” </t>
    </r>
    <r>
      <rPr>
        <i/>
        <sz val="10"/>
        <color rgb="FF1D1C1D"/>
        <rFont val="Arial"/>
      </rPr>
      <t>sourced from PECOS.</t>
    </r>
  </si>
  <si>
    <t>CCLF4</t>
  </si>
  <si>
    <t>Signifies the type of claim being submitted through the Medicare or Medicaid programs. H
Claim type code include: 
10 = HHA claim
20 = Non swing bed SNF claim
30 = Swing bed SNF claim 
40 = Outpatient claim
50 = Hospice claim
60 = Inpatient claim
61 = Inpatient “Full- Encounter” claim</t>
  </si>
  <si>
    <t>Claim Product Type Code</t>
  </si>
  <si>
    <t>Code classifying the diagnosis category. H
Category codes include:
E = Accident diagnosis code 
1 = First diagnosis E code
D = Other diagnosis code</t>
  </si>
  <si>
    <t>Diagnosis Code</t>
  </si>
  <si>
    <r>
      <t xml:space="preserve">The ICD-9/10 diagnosis code identifying the beneficiary’s illness or disability. </t>
    </r>
    <r>
      <rPr>
        <vertAlign val="superscript"/>
        <sz val="10"/>
        <color rgb="FF000000"/>
        <rFont val="Arial"/>
      </rPr>
      <t>I H</t>
    </r>
  </si>
  <si>
    <r>
      <t xml:space="preserve">Legacy Beneficiary Equitable BIC HICN Number.
</t>
    </r>
    <r>
      <rPr>
        <b/>
        <sz val="10"/>
        <color rgb="FF000000"/>
        <rFont val="Arial"/>
      </rPr>
      <t xml:space="preserve">Note: </t>
    </r>
    <r>
      <rPr>
        <i/>
        <sz val="10"/>
        <color rgb="FF000000"/>
        <rFont val="Arial"/>
      </rPr>
      <t>To comply with MACRA of 2015, after the end of the New Medicare Card Transition Period in December 2019, only the MBI will be accepted on claims and the HICN value/ Beneficiary Equitable BIC HICN Number will no longer be displayed. The Beneficiary Equitable BIC HICN Number will be blank effective January 1, 2020.</t>
    </r>
  </si>
  <si>
    <r>
      <t xml:space="preserve">The OSCAR is a facility’s Medicare/Medicaid identification number. It is also known as a Medicare/Medicaid Provider Number, or CCN. This number verifies that a provider has been Medicare certified for a particular type of services. </t>
    </r>
    <r>
      <rPr>
        <vertAlign val="superscript"/>
        <sz val="10"/>
        <color rgb="FF000000"/>
        <rFont val="Arial"/>
      </rPr>
      <t>H</t>
    </r>
  </si>
  <si>
    <t>Claim Present- on-Admission Indicator</t>
  </si>
  <si>
    <t>X(7)</t>
  </si>
  <si>
    <r>
      <rPr>
        <sz val="10"/>
        <color rgb="FF000000"/>
        <rFont val="Arial"/>
      </rPr>
      <t xml:space="preserve">Indicates whether a patient had the condition listed on the claim line at the time of admission to the facility. </t>
    </r>
    <r>
      <rPr>
        <vertAlign val="superscript"/>
        <sz val="10"/>
        <color rgb="FF000000"/>
        <rFont val="Arial"/>
      </rPr>
      <t xml:space="preserve">I H
</t>
    </r>
    <r>
      <rPr>
        <sz val="10"/>
        <color rgb="FF000000"/>
        <rFont val="Arial"/>
      </rPr>
      <t xml:space="preserve">Find </t>
    </r>
    <r>
      <rPr>
        <u/>
        <sz val="10"/>
        <color rgb="FF0000FF"/>
        <rFont val="Arial"/>
      </rPr>
      <t>Present-on-Admission </t>
    </r>
    <r>
      <rPr>
        <sz val="10"/>
        <color rgb="FF0000FF"/>
        <rFont val="Arial"/>
      </rPr>
      <t xml:space="preserve"> </t>
    </r>
    <r>
      <rPr>
        <u/>
        <sz val="10"/>
        <color rgb="FF0000FF"/>
        <rFont val="Arial"/>
      </rPr>
      <t>values</t>
    </r>
    <r>
      <rPr>
        <sz val="10"/>
        <color rgb="FF0000FF"/>
        <rFont val="Arial"/>
      </rPr>
      <t xml:space="preserve"> </t>
    </r>
    <r>
      <rPr>
        <sz val="10"/>
        <color rgb="FF000000"/>
        <rFont val="Arial"/>
      </rPr>
      <t>at the ResDAC website.</t>
    </r>
  </si>
  <si>
    <r>
      <t xml:space="preserve">A facility’s Medicare/Medicaid identification number, also known as a Medicare/Medicaid Provider Number, or CCN. This number verifies that a provider has been Medicare certified for a particular type of services.
</t>
    </r>
    <r>
      <rPr>
        <b/>
        <sz val="10"/>
        <color rgb="FF000000"/>
        <rFont val="Arial"/>
      </rPr>
      <t xml:space="preserve">Notes:
</t>
    </r>
    <r>
      <rPr>
        <sz val="10"/>
        <color rgb="FF000000"/>
        <rFont val="Arial"/>
      </rPr>
      <t xml:space="preserve">     </t>
    </r>
    <r>
      <rPr>
        <i/>
        <sz val="10"/>
        <color rgb="FF1D1C1D"/>
        <rFont val="Arial"/>
      </rPr>
      <t xml:space="preserve">From January 2022 onward, for Shared Savings Program, </t>
    </r>
    <r>
      <rPr>
        <i/>
        <sz val="10"/>
        <color rgb="FF000000"/>
        <rFont val="Arial"/>
      </rPr>
      <t>ACO REACH</t>
    </r>
    <r>
      <rPr>
        <i/>
        <sz val="10"/>
        <color rgb="FF1D1C1D"/>
        <rFont val="Arial"/>
      </rPr>
      <t xml:space="preserve">, KCC, VTAPM,
and PCF models, this value is sourced from the Medicare claims processing system.
</t>
    </r>
    <r>
      <rPr>
        <sz val="10"/>
        <color rgb="FF000000"/>
        <rFont val="Arial"/>
      </rPr>
      <t xml:space="preserve">     </t>
    </r>
    <r>
      <rPr>
        <i/>
        <sz val="10"/>
        <color rgb="FF1D1C1D"/>
        <rFont val="Arial"/>
      </rPr>
      <t>This field is included in addition to the Element 9 “</t>
    </r>
    <r>
      <rPr>
        <i/>
        <sz val="10"/>
        <color rgb="FF000000"/>
        <rFont val="Arial"/>
      </rPr>
      <t xml:space="preserve">Provider OSCAR Number” </t>
    </r>
    <r>
      <rPr>
        <i/>
        <sz val="10"/>
        <color rgb="FF1D1C1D"/>
        <rFont val="Arial"/>
      </rPr>
      <t>sourced from PECOS.</t>
    </r>
  </si>
  <si>
    <t>CCLF5</t>
  </si>
  <si>
    <t>A sequential number that identifies a specific claim line within a given claim.</t>
  </si>
  <si>
    <t>A Medicare Beneficiary Identifier assigned to a beneficiary. I H</t>
  </si>
  <si>
    <r>
      <t xml:space="preserve">Legacy Beneficiary HICN field.
</t>
    </r>
    <r>
      <rPr>
        <b/>
        <sz val="10"/>
        <color rgb="FF000000"/>
        <rFont val="Arial"/>
      </rPr>
      <t xml:space="preserve">Note: </t>
    </r>
    <r>
      <rPr>
        <i/>
        <sz val="10"/>
        <color rgb="FF000000"/>
        <rFont val="Arial"/>
      </rPr>
      <t>To comply with MACRA of 2015, after the end of the New Medicare Card Transition Period in December 2019, only the MBI will be accepted on claims, and the HICN value will no longer be displayed. The HICN field will be blank effective January 1, 2020.</t>
    </r>
  </si>
  <si>
    <r>
      <t xml:space="preserve">Signifies the type of claim being submitted through the Medicare or Medicaid programs. </t>
    </r>
    <r>
      <rPr>
        <vertAlign val="superscript"/>
        <sz val="10"/>
        <color rgb="FF000000"/>
        <rFont val="Arial"/>
      </rPr>
      <t xml:space="preserve">H
</t>
    </r>
    <r>
      <rPr>
        <sz val="10"/>
        <color rgb="FF000000"/>
        <rFont val="Arial"/>
      </rPr>
      <t>Claim type code include:
71 = RIC O local carrier non-DMEPOS claim
72 = RIC O local carrier DMEPOS claim</t>
    </r>
  </si>
  <si>
    <t>RNDRG_PRVDR_TYPE_CD</t>
  </si>
  <si>
    <t>Rendering Provider Type Code</t>
  </si>
  <si>
    <t>X(03)</t>
  </si>
  <si>
    <t>Indicates the type of provider who provided the service associated with this line item on the claim.
Provider Type Code include:
0 = Clinics, groups, associations, partnerships, or other entities
1 = Physicians or suppliers reporting as solo practitioners
2 = Suppliers (other than sole proprietorship)
3 = Institutional provider
4 = Independent laboratories
5 = Clinics (multiple specialties)
6 = Groups (single specialty)
7 = Other entities
8 = Family Practice
UI = UPIN Identification N2 = National Council for Prescription Drug Programs
D = National Supplier Clearinghouse
BP = PIN Individual
BG = PIN Group
A = Online Survey, Certification and Reporting</t>
  </si>
  <si>
    <t>RNDRG_PRVDR_FIPS_ST_CD</t>
  </si>
  <si>
    <t>Rendering Provider FIPS State Code</t>
  </si>
  <si>
    <t>Identifies the state that the provider providing the service is located in.</t>
  </si>
  <si>
    <t>Claim-Line Provider Specialty Code</t>
  </si>
  <si>
    <r>
      <rPr>
        <sz val="10"/>
        <color rgb="FF000000"/>
        <rFont val="Arial"/>
      </rPr>
      <t xml:space="preserve">Indicates the CMS specialty code associated with the provider of services. CMS used this number to price the service on the line-item.
Find </t>
    </r>
    <r>
      <rPr>
        <u/>
        <sz val="10"/>
        <color rgb="FF0000FF"/>
        <rFont val="Arial"/>
      </rPr>
      <t>Provider Specialty </t>
    </r>
    <r>
      <rPr>
        <sz val="10"/>
        <color rgb="FF0000FF"/>
        <rFont val="Arial"/>
      </rPr>
      <t xml:space="preserve"> </t>
    </r>
    <r>
      <rPr>
        <u/>
        <sz val="10"/>
        <color rgb="FF0000FF"/>
        <rFont val="Arial"/>
      </rPr>
      <t>Code</t>
    </r>
    <r>
      <rPr>
        <sz val="10"/>
        <color rgb="FF0000FF"/>
        <rFont val="Arial"/>
      </rPr>
      <t xml:space="preserve"> </t>
    </r>
    <r>
      <rPr>
        <sz val="10"/>
        <color rgb="FF000000"/>
        <rFont val="Arial"/>
      </rPr>
      <t>at CMS.gov or the Research Data Assistance Center.</t>
    </r>
  </si>
  <si>
    <t>Claim Federal Type Service Code</t>
  </si>
  <si>
    <r>
      <rPr>
        <sz val="10"/>
        <color rgb="FF000000"/>
        <rFont val="Arial"/>
      </rPr>
      <t xml:space="preserve">Indicates the type of service (e.g., consultation, surgery) provided to the beneficiary. Types of Service Code are defined in the Medicare Carrier Manual.
Find </t>
    </r>
    <r>
      <rPr>
        <u/>
        <sz val="10"/>
        <color rgb="FF0000FF"/>
        <rFont val="Arial"/>
      </rPr>
      <t>Types of Service Code</t>
    </r>
    <r>
      <rPr>
        <sz val="10"/>
        <color rgb="FF0000FF"/>
        <rFont val="Arial"/>
      </rPr>
      <t xml:space="preserve"> </t>
    </r>
    <r>
      <rPr>
        <sz val="10"/>
        <color rgb="FF000000"/>
        <rFont val="Arial"/>
      </rPr>
      <t>at the ResDAC website.</t>
    </r>
  </si>
  <si>
    <t>Claim Place of Service Code</t>
  </si>
  <si>
    <r>
      <rPr>
        <sz val="10"/>
        <color rgb="FF000000"/>
        <rFont val="Arial"/>
      </rPr>
      <t xml:space="preserve">Indicates the place where the indicated service was provided (e.g., ambulance, school). Places of service are defined in the Medicare Carrier Manual.
Find </t>
    </r>
    <r>
      <rPr>
        <u/>
        <sz val="10"/>
        <color rgb="FF0000FF"/>
        <rFont val="Arial"/>
      </rPr>
      <t>Place of Service Code</t>
    </r>
    <r>
      <rPr>
        <sz val="10"/>
        <color rgb="FF0000FF"/>
        <rFont val="Arial"/>
      </rPr>
      <t xml:space="preserve"> </t>
    </r>
    <r>
      <rPr>
        <sz val="10"/>
        <color rgb="FF000000"/>
        <rFont val="Arial"/>
      </rPr>
      <t>at the ResDAC website.</t>
    </r>
  </si>
  <si>
    <t>The date the service associated with the line item began.</t>
  </si>
  <si>
    <t>The date the service associated with the line item ended.</t>
  </si>
  <si>
    <r>
      <t xml:space="preserve">The HCPCS code representing the procedure, supply, product, and/or service provided to the beneficiary. </t>
    </r>
    <r>
      <rPr>
        <vertAlign val="superscript"/>
        <sz val="10"/>
        <color rgb="FF000000"/>
        <rFont val="Arial"/>
      </rPr>
      <t>I H</t>
    </r>
  </si>
  <si>
    <t>Claim Line NCH Payment Amount</t>
  </si>
  <si>
    <t>X(15)</t>
  </si>
  <si>
    <t>The amount of payment made by Medicare on behalf of the beneficiary for the indicated service after deductible and coinsurance amounts have been paid.</t>
  </si>
  <si>
    <t>CLM_LINE_PRMRY_PYR_CD</t>
  </si>
  <si>
    <t>Claim Primary Payer Code</t>
  </si>
  <si>
    <r>
      <rPr>
        <sz val="10"/>
        <color rgb="FF000000"/>
        <rFont val="Arial"/>
      </rPr>
      <t xml:space="preserve">If a payer other than Medicare has primary responsibility for payment of the service indicated on the claim line, this code indicates the primary payer. This field is also known as the Line Beneficiary Primary Payer Code. </t>
    </r>
    <r>
      <rPr>
        <vertAlign val="superscript"/>
        <sz val="10"/>
        <color rgb="FF000000"/>
        <rFont val="Arial"/>
      </rPr>
      <t xml:space="preserve">I H
</t>
    </r>
    <r>
      <rPr>
        <sz val="10"/>
        <color rgb="FF000000"/>
        <rFont val="Arial"/>
      </rPr>
      <t xml:space="preserve">If this field is blank, Medicare is the primary payer for the beneficiary.
Find </t>
    </r>
    <r>
      <rPr>
        <u/>
        <sz val="10"/>
        <color rgb="FF0000FF"/>
        <rFont val="Arial"/>
      </rPr>
      <t>Primary Payer Code</t>
    </r>
    <r>
      <rPr>
        <sz val="10"/>
        <color rgb="FF0000FF"/>
        <rFont val="Arial"/>
      </rPr>
      <t xml:space="preserve"> </t>
    </r>
    <r>
      <rPr>
        <sz val="10"/>
        <color rgb="FF000000"/>
        <rFont val="Arial"/>
      </rPr>
      <t>at the ResDAC website.</t>
    </r>
  </si>
  <si>
    <r>
      <t xml:space="preserve">The ICD-9/10 diagnosis code identifying the beneficiary’s principal illness or disability. </t>
    </r>
    <r>
      <rPr>
        <vertAlign val="superscript"/>
        <sz val="10"/>
        <color rgb="FF000000"/>
        <rFont val="Arial"/>
      </rPr>
      <t>I H</t>
    </r>
  </si>
  <si>
    <t>Claim Provider Tax Number</t>
  </si>
  <si>
    <r>
      <t xml:space="preserve">The SSN or Employee Identification Number (EIN) of the provider of the indicated service. This number identifies who receives payment for the indicated service. </t>
    </r>
    <r>
      <rPr>
        <vertAlign val="superscript"/>
        <sz val="10"/>
        <color rgb="FF000000"/>
        <rFont val="Arial"/>
      </rPr>
      <t>I</t>
    </r>
  </si>
  <si>
    <t>RNDRG_PRVDR_NPI_NUM</t>
  </si>
  <si>
    <t>Rendering Provider NPI Number</t>
  </si>
  <si>
    <t>A number that identifies the provider rendering the indicated service on the claim line. Each provider is assigned its own unique NPI.</t>
  </si>
  <si>
    <t>Claim Carrier Payment Denial Code</t>
  </si>
  <si>
    <r>
      <t xml:space="preserve">Indicates to whom payment was made (e.g., physician, beneficiary), or if the claim was denied.
Find </t>
    </r>
    <r>
      <rPr>
        <u/>
        <sz val="10"/>
        <color rgb="FF0000FF"/>
        <rFont val="Arial"/>
      </rPr>
      <t xml:space="preserve">Carrier Payment  Denial Code </t>
    </r>
    <r>
      <rPr>
        <u/>
        <sz val="10"/>
        <color rgb="FF000000"/>
        <rFont val="Arial"/>
      </rPr>
      <t>at the ResDAC website.
Additionally, the following code may be available:
G = MSP Cost Avoided - Secondary Claims Investigation
H = MSP Cost Avoided - Self Reports
J = MSP Cost Avoided - 411.25
T = MSP Cost Avoided - IEQ contractor (eff. 7/96)
X = MSP Cost Avoided - generic
Y = MSP Cost Avoided - IRS/SSA data match project</t>
    </r>
  </si>
  <si>
    <t>Claim-Line Processing Indicator Code</t>
  </si>
  <si>
    <r>
      <rPr>
        <sz val="10"/>
        <color rgb="FF000000"/>
        <rFont val="Arial"/>
      </rPr>
      <t xml:space="preserve">Indicates if the service indicated on the claim line was allowed or the reason it was denied.
Find </t>
    </r>
    <r>
      <rPr>
        <u/>
        <sz val="10"/>
        <color rgb="FF0000FF"/>
        <rFont val="Arial"/>
      </rPr>
      <t>Processing Indicator </t>
    </r>
    <r>
      <rPr>
        <sz val="10"/>
        <color rgb="FF0000FF"/>
        <rFont val="Arial"/>
      </rPr>
      <t xml:space="preserve"> </t>
    </r>
    <r>
      <rPr>
        <u/>
        <sz val="10"/>
        <color rgb="FF0000FF"/>
        <rFont val="Arial"/>
      </rPr>
      <t>Code</t>
    </r>
    <r>
      <rPr>
        <sz val="10"/>
        <color rgb="FF0000FF"/>
        <rFont val="Arial"/>
      </rPr>
      <t xml:space="preserve"> </t>
    </r>
    <r>
      <rPr>
        <sz val="10"/>
        <color rgb="FF000000"/>
        <rFont val="Arial"/>
      </rPr>
      <t>at the ResDAC website.
Additionally, the following code may be available:
G = MSP Cost Avoided - Secondary Claims Investigation
H = MSP Cost Avoided - Self Reports
J = MSP Cost Avoided - 411.25
19 = MSP Cost Avoided - Worker's Compensation Set Aside
41 = MSP Cost Avoided - Next Generation Desktop</t>
    </r>
  </si>
  <si>
    <t>The date the claim was processed and added to the NCH. This is also referred to as the NCH Weekly Processing Date.</t>
  </si>
  <si>
    <t>X(40)</t>
  </si>
  <si>
    <t>A unique number assigned to a claim by the Medicare carrier.
This number allows CMS to associate each line item with its respective claim.</t>
  </si>
  <si>
    <r>
      <t xml:space="preserve">Legacy Beneficiary Equitable BIC HICN Number.
</t>
    </r>
    <r>
      <rPr>
        <b/>
        <sz val="10"/>
        <color rgb="FF000000"/>
        <rFont val="Arial"/>
      </rPr>
      <t xml:space="preserve">Note: </t>
    </r>
    <r>
      <rPr>
        <i/>
        <sz val="10"/>
        <color rgb="FF000000"/>
        <rFont val="Arial"/>
      </rPr>
      <t>To comply with MACRA of 2015, after the end of the New Medicare Card Transition Period in December 2019, only the MBI will be accepted on claims, and the HICN value/ Beneficiary Equitable BIC HICN Number will no longer be displayed. The Beneficiary Equitable BIC HICN Number will be blank effective January 1, 2020.</t>
    </r>
  </si>
  <si>
    <t>Claim Line Allowed Charges Amount</t>
  </si>
  <si>
    <t>X(17)</t>
  </si>
  <si>
    <t>The amount Medicare approved for payment to the provider.</t>
  </si>
  <si>
    <t>Count of total units, at the line-item level, associated with services needing unit reporting (e.g., anesthesia time units and blood units).</t>
  </si>
  <si>
    <r>
      <t xml:space="preserve">The first code to modify the HCPCS procedure code associated with the claim- line. This provides more specific procedure identification for the line- item service. </t>
    </r>
    <r>
      <rPr>
        <vertAlign val="superscript"/>
        <sz val="10"/>
        <color rgb="FF000000"/>
        <rFont val="Arial"/>
      </rPr>
      <t>H</t>
    </r>
  </si>
  <si>
    <r>
      <t xml:space="preserve">The second code to modify the HCPCS procedure code associated with the claim- line. This provides more specific procedure identification for the line- item service. </t>
    </r>
    <r>
      <rPr>
        <vertAlign val="superscript"/>
        <sz val="10"/>
        <color rgb="FF000000"/>
        <rFont val="Arial"/>
      </rPr>
      <t>H</t>
    </r>
  </si>
  <si>
    <r>
      <t xml:space="preserve">The third code to modify the HCPCS procedure code associated with the claim- line. This provides more specific procedure identification for the line- item service. </t>
    </r>
    <r>
      <rPr>
        <vertAlign val="superscript"/>
        <sz val="10"/>
        <color rgb="FF000000"/>
        <rFont val="Arial"/>
      </rPr>
      <t>H</t>
    </r>
  </si>
  <si>
    <r>
      <t xml:space="preserve">The fourth code to modify the HCPCS procedure code associated with the claim- line. This provides more specific procedure identification for the line- item service. </t>
    </r>
    <r>
      <rPr>
        <vertAlign val="superscript"/>
        <sz val="10"/>
        <color rgb="FF000000"/>
        <rFont val="Arial"/>
      </rPr>
      <t>H</t>
    </r>
  </si>
  <si>
    <r>
      <t xml:space="preserve">The fifth code to modify the HCPCS procedure code associated with the claim- line. This provides more specific procedure identification for the line- item service. </t>
    </r>
    <r>
      <rPr>
        <vertAlign val="superscript"/>
        <sz val="10"/>
        <color rgb="FF000000"/>
        <rFont val="Arial"/>
      </rPr>
      <t>H</t>
    </r>
  </si>
  <si>
    <t>Information regarding payment actions on the claim.
Claim Disposition Code include:
01 = Debit accepted
02 = Debit accepted (automatic adjustment)
03 = Cancel accepted</t>
  </si>
  <si>
    <t>CLM_DGNS_1_CD</t>
  </si>
  <si>
    <t>Claim Diagnosis First Code</t>
  </si>
  <si>
    <r>
      <t xml:space="preserve">The first of 12 allowable ICD-9/10 diagnosis code identifying the beneficiary’s illness or disability. </t>
    </r>
    <r>
      <rPr>
        <vertAlign val="superscript"/>
        <sz val="10"/>
        <color rgb="FF000000"/>
        <rFont val="Arial"/>
      </rPr>
      <t>I H</t>
    </r>
  </si>
  <si>
    <t>CLM_DGNS_2_CD</t>
  </si>
  <si>
    <t>Claim Diagnosis Second Code</t>
  </si>
  <si>
    <r>
      <t xml:space="preserve">The second of 12 allowable ICD-9/10 diagnosis code identifying the beneficiary’s illness or disability. </t>
    </r>
    <r>
      <rPr>
        <vertAlign val="superscript"/>
        <sz val="10"/>
        <color rgb="FF000000"/>
        <rFont val="Arial"/>
      </rPr>
      <t>I H</t>
    </r>
  </si>
  <si>
    <t>CLM_DGNS_3_CD</t>
  </si>
  <si>
    <t>Claim Diagnosis Third Code</t>
  </si>
  <si>
    <r>
      <t xml:space="preserve">The third of 12 allowable ICD-9/10 diagnosis code identifying the beneficiary’s illness or disability. </t>
    </r>
    <r>
      <rPr>
        <vertAlign val="superscript"/>
        <sz val="10"/>
        <color rgb="FF000000"/>
        <rFont val="Arial"/>
      </rPr>
      <t>I H</t>
    </r>
  </si>
  <si>
    <t>CLM_DGNS_4_CD</t>
  </si>
  <si>
    <t>Claim Diagnosis Fourth Code</t>
  </si>
  <si>
    <r>
      <t xml:space="preserve">The fourth of 12 allowable ICD-9/10 diagnosis code identifying the beneficiary’s illness or disability. </t>
    </r>
    <r>
      <rPr>
        <vertAlign val="superscript"/>
        <sz val="10"/>
        <color rgb="FF000000"/>
        <rFont val="Arial"/>
      </rPr>
      <t>I H</t>
    </r>
  </si>
  <si>
    <t>CLM_DGNS_5_CD</t>
  </si>
  <si>
    <t>Claim Diagnosis Fifth Code</t>
  </si>
  <si>
    <r>
      <t xml:space="preserve">The fifth of 12 allowable ICD-9/10 diagnosis code identifying the beneficiary’s illness or disability. </t>
    </r>
    <r>
      <rPr>
        <vertAlign val="superscript"/>
        <sz val="10"/>
        <color rgb="FF000000"/>
        <rFont val="Arial"/>
      </rPr>
      <t>I H</t>
    </r>
  </si>
  <si>
    <t>CLM_DGNS_6_CD</t>
  </si>
  <si>
    <t>Claim Diagnosis Sixth Code</t>
  </si>
  <si>
    <r>
      <t xml:space="preserve">The sixth of 12allowable ICD-9/10 diagnosis code identifying the beneficiary’s illness or disability. </t>
    </r>
    <r>
      <rPr>
        <vertAlign val="superscript"/>
        <sz val="10"/>
        <color rgb="FF000000"/>
        <rFont val="Arial"/>
      </rPr>
      <t>I H</t>
    </r>
  </si>
  <si>
    <t>CLM_DGNS_7_CD</t>
  </si>
  <si>
    <t>Claim Diagnosis Seventh Code</t>
  </si>
  <si>
    <r>
      <t xml:space="preserve">The seventh of 12 allowable ICD-9/10 diagnosis code identifying the beneficiary’s illness or disability. </t>
    </r>
    <r>
      <rPr>
        <vertAlign val="superscript"/>
        <sz val="10"/>
        <color rgb="FF000000"/>
        <rFont val="Arial"/>
      </rPr>
      <t>I H</t>
    </r>
  </si>
  <si>
    <t>CLM_DGNS_8_CD</t>
  </si>
  <si>
    <t>Claim Diagnosis Eighth Code</t>
  </si>
  <si>
    <r>
      <t xml:space="preserve">The eighth of 12 allowable ICD-9/10 diagnosis code identifying the beneficiary’s illness or disability. </t>
    </r>
    <r>
      <rPr>
        <vertAlign val="superscript"/>
        <sz val="10"/>
        <color rgb="FF000000"/>
        <rFont val="Arial"/>
      </rPr>
      <t>I H</t>
    </r>
  </si>
  <si>
    <t>CLM_DGNS_9_CD</t>
  </si>
  <si>
    <t>Claim Diagnosis Ninth Code</t>
  </si>
  <si>
    <r>
      <t xml:space="preserve">The ninth of 12 allowable ICD-9/10 diagnosis code identifying the beneficiary’s illness or disability. </t>
    </r>
    <r>
      <rPr>
        <vertAlign val="superscript"/>
        <sz val="10"/>
        <color rgb="FF000000"/>
        <rFont val="Arial"/>
      </rPr>
      <t>I H</t>
    </r>
  </si>
  <si>
    <t>CLM_DGNS_10_CD</t>
  </si>
  <si>
    <t>Claim Diagnosis Tenth Code</t>
  </si>
  <si>
    <r>
      <t xml:space="preserve">The tenth of 12 allowable ICD-9/10 diagnosis code identifying the beneficiary’s illness or disability. </t>
    </r>
    <r>
      <rPr>
        <vertAlign val="superscript"/>
        <sz val="10"/>
        <color rgb="FF000000"/>
        <rFont val="Arial"/>
      </rPr>
      <t>I H</t>
    </r>
  </si>
  <si>
    <t>CLM_DGNS_11_CD</t>
  </si>
  <si>
    <t>Claim Diagnosis Eleventh Code</t>
  </si>
  <si>
    <r>
      <t xml:space="preserve">The eleventh of 12 allowable ICD-9/10 diagnosis code identifying the beneficiary’s illness or disability. </t>
    </r>
    <r>
      <rPr>
        <vertAlign val="superscript"/>
        <sz val="10"/>
        <color rgb="FF000000"/>
        <rFont val="Arial"/>
      </rPr>
      <t>I H</t>
    </r>
  </si>
  <si>
    <t>CLM_DGNS_12_CD</t>
  </si>
  <si>
    <t>Claim Diagnosis Twelfth Code</t>
  </si>
  <si>
    <r>
      <t xml:space="preserve">The twelfth of 12 allowable ICD-9/10 diagnosis code identifying the beneficiary’s illness or disability. </t>
    </r>
    <r>
      <rPr>
        <vertAlign val="superscript"/>
        <sz val="10"/>
        <color rgb="FF000000"/>
        <rFont val="Arial"/>
      </rPr>
      <t>I H</t>
    </r>
  </si>
  <si>
    <t>HCPCS_BETOS_CD</t>
  </si>
  <si>
    <t>HCPCS BETOS Code</t>
  </si>
  <si>
    <t>X(3)</t>
  </si>
  <si>
    <t>A code representing a clinical category. The Berenson-Eggers Type of Service (BETOS) code.</t>
  </si>
  <si>
    <t>CLM_RNDRG_PRVDR_NPI_NUM</t>
  </si>
  <si>
    <t>Claim Rendering Provider NPI Number</t>
  </si>
  <si>
    <r>
      <t xml:space="preserve">A number that identifies the provider rendering the indicated service on the claim line. Each provider is assigned its own unique NPI.
</t>
    </r>
    <r>
      <rPr>
        <b/>
        <sz val="10"/>
        <color rgb="FF000000"/>
        <rFont val="Arial"/>
      </rPr>
      <t xml:space="preserve">Notes:
</t>
    </r>
    <r>
      <rPr>
        <sz val="10"/>
        <color rgb="FF000000"/>
        <rFont val="Arial"/>
      </rPr>
      <t xml:space="preserve">     </t>
    </r>
    <r>
      <rPr>
        <i/>
        <sz val="10"/>
        <color rgb="FF000000"/>
        <rFont val="Arial"/>
      </rPr>
      <t xml:space="preserve">From January 2022 onward, for Shared Savings Program, ACO REACH, KCC, VTAPM, and PCF
models, this value is sourced from the Medicare claims processing
system.
</t>
    </r>
    <r>
      <rPr>
        <sz val="10"/>
        <color rgb="FF000000"/>
        <rFont val="Arial"/>
      </rPr>
      <t xml:space="preserve">     </t>
    </r>
    <r>
      <rPr>
        <i/>
        <sz val="10"/>
        <color rgb="FF000000"/>
        <rFont val="Arial"/>
      </rPr>
      <t>This field is included in addition to the Element
20 “Rendering Provider NPI Number” sourced from PECOS.</t>
    </r>
  </si>
  <si>
    <t>CLM_RFRG_PRVDR_NPI_NUM</t>
  </si>
  <si>
    <t>Claim Referring Provider NPI Number</t>
  </si>
  <si>
    <t>A number that identifies the provider that referred the service on the claim line.
Each provider is assigned its own unique NPI.</t>
  </si>
  <si>
    <t>Claim contractor number</t>
  </si>
  <si>
    <t>CCLF6</t>
  </si>
  <si>
    <t>Signifies the type of claim being submitted through the Medicare or Medicaid programs. H
Claim type code include: 
81 = RIC M DMERC non-DMEPOS claim
82 = RIC M DMERC DMEPOS claim</t>
  </si>
  <si>
    <r>
      <rPr>
        <sz val="10"/>
        <color rgb="FF000000"/>
        <rFont val="Arial"/>
      </rPr>
      <t xml:space="preserve">Indicates the type of service (e.g., consultation, surgery), provided to the beneficiary. Types of Service Code are defined in the Medicare Carrier Manual. </t>
    </r>
    <r>
      <rPr>
        <vertAlign val="superscript"/>
        <sz val="10"/>
        <color rgb="FF000000"/>
        <rFont val="Arial"/>
      </rPr>
      <t xml:space="preserve">H
</t>
    </r>
    <r>
      <rPr>
        <sz val="10"/>
        <color rgb="FF000000"/>
        <rFont val="Arial"/>
      </rPr>
      <t xml:space="preserve">Find </t>
    </r>
    <r>
      <rPr>
        <u/>
        <sz val="10"/>
        <color rgb="FF0000FF"/>
        <rFont val="Arial"/>
      </rPr>
      <t>Types of Service Code</t>
    </r>
    <r>
      <rPr>
        <sz val="10"/>
        <color rgb="FF0000FF"/>
        <rFont val="Arial"/>
      </rPr>
      <t xml:space="preserve"> </t>
    </r>
    <r>
      <rPr>
        <sz val="10"/>
        <color rgb="FF000000"/>
        <rFont val="Arial"/>
      </rPr>
      <t>at the ResDAC website.</t>
    </r>
  </si>
  <si>
    <r>
      <rPr>
        <sz val="10"/>
        <color rgb="FF000000"/>
        <rFont val="Arial"/>
      </rPr>
      <t xml:space="preserve">Indicates place where the indicated service was provided (e.g., ambulance, school). </t>
    </r>
    <r>
      <rPr>
        <vertAlign val="superscript"/>
        <sz val="10"/>
        <color rgb="FF000000"/>
        <rFont val="Arial"/>
      </rPr>
      <t xml:space="preserve">H
</t>
    </r>
    <r>
      <rPr>
        <sz val="10"/>
        <color rgb="FF000000"/>
        <rFont val="Arial"/>
      </rPr>
      <t xml:space="preserve">Find </t>
    </r>
    <r>
      <rPr>
        <u/>
        <sz val="10"/>
        <color rgb="FF0000FF"/>
        <rFont val="Arial"/>
      </rPr>
      <t>Place of Service Code</t>
    </r>
    <r>
      <rPr>
        <sz val="10"/>
        <color rgb="FF0000FF"/>
        <rFont val="Arial"/>
      </rPr>
      <t xml:space="preserve"> </t>
    </r>
    <r>
      <rPr>
        <sz val="10"/>
        <color rgb="FF000000"/>
        <rFont val="Arial"/>
      </rPr>
      <t>at the ResDAC website.</t>
    </r>
  </si>
  <si>
    <r>
      <t xml:space="preserve">The HCPCS code representing the procedure, supply, product, and/or service provided to the beneficiary. </t>
    </r>
    <r>
      <rPr>
        <vertAlign val="superscript"/>
        <sz val="10"/>
        <color rgb="FF000000"/>
        <rFont val="Arial"/>
      </rPr>
      <t>H</t>
    </r>
  </si>
  <si>
    <r>
      <t xml:space="preserve">The amount of payment made by Medicare on behalf of the beneficiary for the indicated service after deductible and coinsurance amounts have been paid. </t>
    </r>
    <r>
      <rPr>
        <vertAlign val="superscript"/>
        <sz val="10"/>
        <color rgb="FF000000"/>
        <rFont val="Arial"/>
      </rPr>
      <t>H</t>
    </r>
  </si>
  <si>
    <r>
      <rPr>
        <sz val="10"/>
        <color rgb="FF000000"/>
        <rFont val="Arial"/>
      </rPr>
      <t xml:space="preserve">If a payer other than Medicare has primary responsibility for payment of the service indicated on the claim line, this code indicates the primary payer. This field is also known as the Line Beneficiary Primary Payer Code.
If this field is blank, Medicare is the primary payer for the beneficiary.
Find </t>
    </r>
    <r>
      <rPr>
        <u/>
        <sz val="10"/>
        <color rgb="FF0000FF"/>
        <rFont val="Arial"/>
      </rPr>
      <t>Primary Payer Code</t>
    </r>
    <r>
      <rPr>
        <sz val="10"/>
        <color rgb="FF0000FF"/>
        <rFont val="Arial"/>
      </rPr>
      <t xml:space="preserve"> </t>
    </r>
    <r>
      <rPr>
        <sz val="10"/>
        <color rgb="FF000000"/>
        <rFont val="Arial"/>
      </rPr>
      <t>at the ResDAC website.</t>
    </r>
  </si>
  <si>
    <t>PAYTO_PRVDR_NPI_NUM</t>
  </si>
  <si>
    <t>Pay-to Provider NPI Number</t>
  </si>
  <si>
    <t>A number that identifies the provider billing for the indicated service on the claim line. Each provider is assigned its own unique NPI.</t>
  </si>
  <si>
    <t>ORDRG_PRVDR_NPI_NUM</t>
  </si>
  <si>
    <t>Ordering Provider NPI Number</t>
  </si>
  <si>
    <t>A number that identifies the provider ordering the indicated service on the claim line. Each provider is assigned its own unique NPI.</t>
  </si>
  <si>
    <r>
      <rPr>
        <sz val="10"/>
        <color rgb="FF000000"/>
        <rFont val="Arial"/>
      </rPr>
      <t xml:space="preserve">Indicates to whom payment was made (e.g., physician, beneficiary) or if the claim was denied
Find </t>
    </r>
    <r>
      <rPr>
        <u/>
        <sz val="10"/>
        <color rgb="FF0000FF"/>
        <rFont val="Arial"/>
      </rPr>
      <t>Carrier Payment Denial </t>
    </r>
    <r>
      <rPr>
        <sz val="10"/>
        <color rgb="FF0000FF"/>
        <rFont val="Arial"/>
      </rPr>
      <t xml:space="preserve"> </t>
    </r>
    <r>
      <rPr>
        <u/>
        <sz val="10"/>
        <color rgb="FF0000FF"/>
        <rFont val="Arial"/>
      </rPr>
      <t>Code</t>
    </r>
    <r>
      <rPr>
        <sz val="10"/>
        <color rgb="FF0000FF"/>
        <rFont val="Arial"/>
      </rPr>
      <t xml:space="preserve"> </t>
    </r>
    <r>
      <rPr>
        <sz val="10"/>
        <color rgb="FF000000"/>
        <rFont val="Arial"/>
      </rPr>
      <t>at the ResDAC website.
Additionally, the following code may be available:
G = Secondary Claims Investigation
H = Self Reports J = 411.25
T = MSP Cost Avoided - IEQ contractor (eff. 7/96)
X = MSP Cost Avoided - generic
Y = MSP Cost Avoided - IRS/SSA data match project</t>
    </r>
  </si>
  <si>
    <t>Claim Processing Indicator Code</t>
  </si>
  <si>
    <r>
      <t xml:space="preserve">The date the claim was processed and added to the NCH. This is also referred to as the NCH Weekly Processing Date. </t>
    </r>
    <r>
      <rPr>
        <vertAlign val="superscript"/>
        <sz val="10"/>
        <color rgb="FF000000"/>
        <rFont val="Arial"/>
      </rPr>
      <t>H</t>
    </r>
  </si>
  <si>
    <t>-9(14).99</t>
  </si>
  <si>
    <t>Contains information regarding payment actions on the claim.
Claim Disposition Code include:
01 = Debit accepted
02 = Debit accepted (automatic adjustment)
03 = Cancel accepted</t>
  </si>
  <si>
    <t>Claim Pay-to Provider NPI Number</t>
  </si>
  <si>
    <r>
      <t xml:space="preserve">A number that identifies the provider billing for the indicated service on the claim line. Each provider is assigned its own unique NPI.
</t>
    </r>
    <r>
      <rPr>
        <b/>
        <sz val="10"/>
        <color rgb="FF000000"/>
        <rFont val="Arial"/>
      </rPr>
      <t xml:space="preserve">Notes:
</t>
    </r>
    <r>
      <rPr>
        <sz val="10"/>
        <color rgb="FF000000"/>
        <rFont val="Arial"/>
      </rPr>
      <t xml:space="preserve">     </t>
    </r>
    <r>
      <rPr>
        <i/>
        <sz val="10"/>
        <color rgb="FF1D1C1D"/>
        <rFont val="Arial"/>
      </rPr>
      <t xml:space="preserve">From January 2022 onward, for Shared Savings Program, </t>
    </r>
    <r>
      <rPr>
        <i/>
        <sz val="10"/>
        <color rgb="FF000000"/>
        <rFont val="Arial"/>
      </rPr>
      <t>ACO REACH</t>
    </r>
    <r>
      <rPr>
        <i/>
        <sz val="10"/>
        <color rgb="FF1D1C1D"/>
        <rFont val="Arial"/>
      </rPr>
      <t xml:space="preserve">, KCC, VTAPM, and PCF
models, this value is sourced from the Medicare claims processing system.
</t>
    </r>
    <r>
      <rPr>
        <sz val="10"/>
        <color rgb="FF000000"/>
        <rFont val="Arial"/>
      </rPr>
      <t xml:space="preserve">     </t>
    </r>
    <r>
      <rPr>
        <i/>
        <sz val="10"/>
        <color rgb="FF1D1C1D"/>
        <rFont val="Arial"/>
      </rPr>
      <t>This field is included in addition to the Element 15 “</t>
    </r>
    <r>
      <rPr>
        <i/>
        <sz val="10"/>
        <color rgb="FF000000"/>
        <rFont val="Arial"/>
      </rPr>
      <t>Pay-to Provider NPI Number</t>
    </r>
    <r>
      <rPr>
        <i/>
        <sz val="10"/>
        <color rgb="FF1D1C1D"/>
        <rFont val="Arial"/>
      </rPr>
      <t>” sourced from PECOS.</t>
    </r>
  </si>
  <si>
    <t>Claim Ordering Provider NPI Number</t>
  </si>
  <si>
    <r>
      <t xml:space="preserve">A number that identifies the provider ordering the indicated service on the claim line. Each provider is assigned its own unique NPI.
</t>
    </r>
    <r>
      <rPr>
        <b/>
        <sz val="10"/>
        <color rgb="FF000000"/>
        <rFont val="Arial"/>
      </rPr>
      <t xml:space="preserve">Notes:
</t>
    </r>
    <r>
      <rPr>
        <sz val="10"/>
        <color rgb="FF000000"/>
        <rFont val="Arial"/>
      </rPr>
      <t xml:space="preserve">     </t>
    </r>
    <r>
      <rPr>
        <i/>
        <sz val="10"/>
        <color rgb="FF1D1C1D"/>
        <rFont val="Arial"/>
      </rPr>
      <t xml:space="preserve">From January 2022 onward, for Shared Savings Program, </t>
    </r>
    <r>
      <rPr>
        <i/>
        <sz val="10"/>
        <color rgb="FF000000"/>
        <rFont val="Arial"/>
      </rPr>
      <t>ACO REACH</t>
    </r>
    <r>
      <rPr>
        <i/>
        <sz val="10"/>
        <color rgb="FF1D1C1D"/>
        <rFont val="Arial"/>
      </rPr>
      <t xml:space="preserve">, KCC, VTAPM, and PCF
models, this value is sourced from the Medicare claims processing system.
</t>
    </r>
    <r>
      <rPr>
        <sz val="10"/>
        <color rgb="FF000000"/>
        <rFont val="Arial"/>
      </rPr>
      <t xml:space="preserve">     </t>
    </r>
    <r>
      <rPr>
        <i/>
        <sz val="10"/>
        <color rgb="FF1D1C1D"/>
        <rFont val="Arial"/>
      </rPr>
      <t>This field is included in addition to the Element 16 “</t>
    </r>
    <r>
      <rPr>
        <i/>
        <sz val="10"/>
        <color rgb="FF000000"/>
        <rFont val="Arial"/>
      </rPr>
      <t>Ordering Provider NPI Number</t>
    </r>
    <r>
      <rPr>
        <i/>
        <sz val="10"/>
        <color rgb="FF1D1C1D"/>
        <rFont val="Arial"/>
      </rPr>
      <t>” sourced from PECOS.</t>
    </r>
  </si>
  <si>
    <t>CCLF7</t>
  </si>
  <si>
    <t>NDC Code</t>
  </si>
  <si>
    <r>
      <t xml:space="preserve">A universal unique product identifier for human drugs. </t>
    </r>
    <r>
      <rPr>
        <vertAlign val="superscript"/>
        <sz val="10"/>
        <color rgb="FF000000"/>
        <rFont val="Arial"/>
      </rPr>
      <t>H</t>
    </r>
  </si>
  <si>
    <t>Signifies the type of claim being submitted through the Medicare or Medicaid programs. H
Claim type code include:
01 = Part D - Original without resubmitted PDE
02 = Part D - Adjusted PDE 
03 = Part D - Deleted Claims
04 = Part D - Resubmitted PDE</t>
  </si>
  <si>
    <t>The date the service associated with the line item began (i.e., the date upon which the prescription was filled).</t>
  </si>
  <si>
    <t>Indicates the type of number used to identify the pharmacy providing the services:
01 = NPI Number
06 = Unique Physician Identification Number (UPIN)
07 = National Council for Prescription Drug Programs (NCPDP) Number
08 = State License Number 
11 = TIN
99 = Other mandatory for Standard Data Format</t>
  </si>
  <si>
    <t>Claim Service Provider Generic ID Number</t>
  </si>
  <si>
    <t>The number associated with the indicated code in the Provider Service Identification Qualifier Code field.</t>
  </si>
  <si>
    <t>Claim Dispensing Status Code</t>
  </si>
  <si>
    <t>Indicates the status of prescription fulfillment.
Dispensing Code include: 
P = Partially filled
C = Completely filled</t>
  </si>
  <si>
    <t>Claim Dispense as Written (DAW) Product Selection Code</t>
  </si>
  <si>
    <t>Indicates the prescriber's instructions regarding generic substitution or how those instructions were followed.
DAW Product Selection Code include:
0 = No product selection indicated
1 = Substitution not allowed by prescriber
2 = Substitution allowed – Patient requested that brand be dispensed
3 = Substitution allowed – Pharmacist selected product dispensed
4 = Substitution allowed – Generic not in stock
5 = Substitution allowed – Brand drug dispensed as generic
6 = Override
7 = Substitution not allowed – Brand drug mandated by law
8 = Substitution allowed – Generic drug not available in marketplace
9 = Other</t>
  </si>
  <si>
    <t>Claim Line Days’ Supply Quantity</t>
  </si>
  <si>
    <t>9(09)</t>
  </si>
  <si>
    <t>The number of days the supply of medication dispensed by the pharmacy will cover.</t>
  </si>
  <si>
    <t>Provider Prescribing ID Qualifier Code</t>
  </si>
  <si>
    <t>Indicates the type of number used to identify the prescribing provider:
01 = NPI Number 
06 = UPIN
07 = NCPDP Number
08 = State License Number
11 = TIN
12 = DEA
99 = Other mandatory for Standard Data Format</t>
  </si>
  <si>
    <t>Claim Prescribing Provider Generic ID Number</t>
  </si>
  <si>
    <t>The number associated with the indicated code in the Provider Prescribing Service Identification Qualifier Code field.</t>
  </si>
  <si>
    <t>Claim Line Beneficiary Payment Amount</t>
  </si>
  <si>
    <t>-9(9).99</t>
  </si>
  <si>
    <t>The dollar amount paid by the beneficiary that is not reimbursed by a third party (e.g., copayments, coinsurance, deductible, or other patient pay amounts). H</t>
  </si>
  <si>
    <t>Indicates whether the claim an original, cancellation, or adjustment claim.
Claim Adjustment Type Code include:
0 = Original Claim
1 = Cancellation Claim
2 = Adjustment claim</t>
  </si>
  <si>
    <t>CLM_LINE_RX_SRVC_RFRNC_NUM</t>
  </si>
  <si>
    <t>Claim Line Prescription Service Reference Number</t>
  </si>
  <si>
    <t>9(12)</t>
  </si>
  <si>
    <t>Identifies a prescription dispensed by a particular service provider on a particular service date.</t>
  </si>
  <si>
    <t>Claim Line Prescription Fill Number</t>
  </si>
  <si>
    <t>X(09)</t>
  </si>
  <si>
    <t>Assigned to the current dispensed supply by the pharmacy. It designates the sequential order of the original fill or subsequent refills of a prescription.</t>
  </si>
  <si>
    <t>Claim Pharmacy Service Type Code</t>
  </si>
  <si>
    <t>A unique identifier of a type of service being performed by a pharmacy when different contractual terms exist between a payer and the pharmacy or when benefits are based upon the type of service performed.
1 = Community/Retail Pharmacy Services
2 = Compounding Pharmacy Services
3 = Home Infusion Therapy Provider Services
4 = Institutional Pharmacy Services
5 = Long Term Care Pharmacy Services
6 = Mail Order Pharmacy Services
7 = Managed Care Organization Pharmacy Services
8 = Specialty Care Pharmacy Services
99 = Other</t>
  </si>
  <si>
    <t>CCLF8</t>
  </si>
  <si>
    <r>
      <t xml:space="preserve">Legacy Beneficiary HICN field.
</t>
    </r>
    <r>
      <rPr>
        <b/>
        <sz val="10"/>
        <color rgb="FF000000"/>
        <rFont val="Arial"/>
      </rPr>
      <t xml:space="preserve">Note: </t>
    </r>
    <r>
      <rPr>
        <i/>
        <sz val="10"/>
        <color rgb="FF000000"/>
        <rFont val="Arial"/>
      </rPr>
      <t>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t>
    </r>
  </si>
  <si>
    <t>BENE_FIPS_STATE_CD</t>
  </si>
  <si>
    <t>Beneficiary FIPS State Code</t>
  </si>
  <si>
    <r>
      <t xml:space="preserve">Identifies the state where the beneficiary receiving services resides. </t>
    </r>
    <r>
      <rPr>
        <vertAlign val="superscript"/>
        <sz val="10"/>
        <color rgb="FF000000"/>
        <rFont val="Arial"/>
      </rPr>
      <t>I H</t>
    </r>
  </si>
  <si>
    <t>BENE_FIPS_CNTY_CD</t>
  </si>
  <si>
    <t>Beneficiary FIPS County Code</t>
  </si>
  <si>
    <t>9(03)</t>
  </si>
  <si>
    <r>
      <t xml:space="preserve">Identifies the county where the beneficiary receiving services resides. </t>
    </r>
    <r>
      <rPr>
        <vertAlign val="superscript"/>
        <sz val="10"/>
        <color rgb="FF000000"/>
        <rFont val="Arial"/>
      </rPr>
      <t>I H</t>
    </r>
  </si>
  <si>
    <t>BENE_ZIP_CD</t>
  </si>
  <si>
    <t>Beneficiary ZIP Code</t>
  </si>
  <si>
    <r>
      <t xml:space="preserve">The beneficiary’s ZIP code as indicated in their Medicare enrollment record. </t>
    </r>
    <r>
      <rPr>
        <vertAlign val="superscript"/>
        <sz val="10"/>
        <color rgb="FF000000"/>
        <rFont val="Arial"/>
      </rPr>
      <t>I H</t>
    </r>
  </si>
  <si>
    <t>BENE_DOB</t>
  </si>
  <si>
    <r>
      <t xml:space="preserve">The month, day, and year of the beneficiary’s birth. </t>
    </r>
    <r>
      <rPr>
        <vertAlign val="superscript"/>
        <sz val="10"/>
        <color rgb="FF000000"/>
        <rFont val="Arial"/>
      </rPr>
      <t>I H</t>
    </r>
  </si>
  <si>
    <r>
      <t xml:space="preserve">The beneficiary’s sex. </t>
    </r>
    <r>
      <rPr>
        <vertAlign val="superscript"/>
        <sz val="10"/>
        <color rgb="FF000000"/>
        <rFont val="Arial"/>
      </rPr>
      <t xml:space="preserve">I H
</t>
    </r>
    <r>
      <rPr>
        <sz val="10"/>
        <color rgb="FF000000"/>
        <rFont val="Arial"/>
      </rPr>
      <t>Code includes:
1 = Male
2 = Female
0 = Unknown</t>
    </r>
  </si>
  <si>
    <r>
      <t xml:space="preserve">The beneficiary's race. </t>
    </r>
    <r>
      <rPr>
        <vertAlign val="superscript"/>
        <sz val="10"/>
        <color rgb="FF000000"/>
        <rFont val="Arial"/>
      </rPr>
      <t xml:space="preserve">I H
</t>
    </r>
    <r>
      <rPr>
        <sz val="10"/>
        <color rgb="FF000000"/>
        <rFont val="Arial"/>
      </rPr>
      <t>Code includes:
0 = Unknown
1 = White
2 = Black
3 = Other
4 = Asian
5 = Hispanic
6 = North American Native</t>
    </r>
  </si>
  <si>
    <t>BENE_AGE</t>
  </si>
  <si>
    <t>Beneficiary Age</t>
  </si>
  <si>
    <r>
      <t xml:space="preserve">The beneficiary’s current age, as calculated by subtracting the beneficiary’s date of birth from the current date. </t>
    </r>
    <r>
      <rPr>
        <vertAlign val="superscript"/>
        <sz val="10"/>
        <color rgb="FF000000"/>
        <rFont val="Arial"/>
      </rPr>
      <t>I H</t>
    </r>
  </si>
  <si>
    <t>Beneficiary Medicare Status Code</t>
  </si>
  <si>
    <t>Indicates the reason for a beneficiary's entitlement to Medicare benefits as of a particular date, broken down by the following categories: I H
Old Age &amp; Survivors Insurance (OASI), Disabled, and ESRD, and by appropriate combinations of these categories:
10 = Aged without ESRD
11 = Aged with ESRD
20 = Disabled without ESRD
21 = Disabled with ESRD
31 = ESRD only</t>
  </si>
  <si>
    <r>
      <rPr>
        <sz val="10"/>
        <color rgb="FF000000"/>
        <rFont val="Arial"/>
      </rPr>
      <t xml:space="preserve">Identifies the most recent entitlement status of beneficiaries eligible for a program(s) in addition to Medicare (e.g., Medicaid). </t>
    </r>
    <r>
      <rPr>
        <vertAlign val="superscript"/>
        <sz val="10"/>
        <color rgb="FF000000"/>
        <rFont val="Arial"/>
      </rPr>
      <t xml:space="preserve">I H
</t>
    </r>
    <r>
      <rPr>
        <sz val="10"/>
        <color rgb="FF000000"/>
        <rFont val="Arial"/>
      </rPr>
      <t xml:space="preserve">Find </t>
    </r>
    <r>
      <rPr>
        <u/>
        <sz val="10"/>
        <color rgb="FF0000FF"/>
        <rFont val="Arial"/>
      </rPr>
      <t>Dual Status Code</t>
    </r>
    <r>
      <rPr>
        <sz val="10"/>
        <color rgb="FF0000FF"/>
        <rFont val="Arial"/>
      </rPr>
      <t xml:space="preserve"> </t>
    </r>
    <r>
      <rPr>
        <sz val="10"/>
        <color rgb="FF000000"/>
        <rFont val="Arial"/>
      </rPr>
      <t>at the ResDAC website.</t>
    </r>
  </si>
  <si>
    <t>Beneficiary Death Date</t>
  </si>
  <si>
    <r>
      <t xml:space="preserve">The month, day, and year of a beneficiary’s death. </t>
    </r>
    <r>
      <rPr>
        <vertAlign val="superscript"/>
        <sz val="10"/>
        <color rgb="FF000000"/>
        <rFont val="Arial"/>
      </rPr>
      <t>I H</t>
    </r>
  </si>
  <si>
    <t>Date beneficiary enrolled in Hospice</t>
  </si>
  <si>
    <r>
      <t xml:space="preserve">The date the beneficiary enrolled in Hospice. </t>
    </r>
    <r>
      <rPr>
        <vertAlign val="superscript"/>
        <sz val="10"/>
        <color rgb="FF000000"/>
        <rFont val="Arial"/>
      </rPr>
      <t>I H</t>
    </r>
  </si>
  <si>
    <t>Date beneficiary ended Hospice</t>
  </si>
  <si>
    <r>
      <t xml:space="preserve">The date the beneficiary is- enrolled in hospice. </t>
    </r>
    <r>
      <rPr>
        <vertAlign val="superscript"/>
        <sz val="10"/>
        <color rgb="FF000000"/>
        <rFont val="Arial"/>
      </rPr>
      <t>I H</t>
    </r>
  </si>
  <si>
    <t>X(30)</t>
  </si>
  <si>
    <r>
      <t xml:space="preserve">The first name of the beneficiary. </t>
    </r>
    <r>
      <rPr>
        <vertAlign val="superscript"/>
        <sz val="10"/>
        <color rgb="FF000000"/>
        <rFont val="Arial"/>
      </rPr>
      <t>I H</t>
    </r>
  </si>
  <si>
    <r>
      <t xml:space="preserve">The middle name of the beneficiary. </t>
    </r>
    <r>
      <rPr>
        <vertAlign val="superscript"/>
        <sz val="10"/>
        <color rgb="FF000000"/>
        <rFont val="Arial"/>
      </rPr>
      <t>I H</t>
    </r>
  </si>
  <si>
    <r>
      <t xml:space="preserve">The last name of the beneficiary. </t>
    </r>
    <r>
      <rPr>
        <vertAlign val="superscript"/>
        <sz val="10"/>
        <color rgb="FF000000"/>
        <rFont val="Arial"/>
      </rPr>
      <t>I H</t>
    </r>
  </si>
  <si>
    <t>BENE_ORGNL_ENTLMT_RSN_CD</t>
  </si>
  <si>
    <t>Beneficiary Original Entitlement Reason Code</t>
  </si>
  <si>
    <r>
      <t xml:space="preserve">The reason for the beneficiary's original entitlement to Medicare benefits. </t>
    </r>
    <r>
      <rPr>
        <vertAlign val="superscript"/>
        <sz val="10"/>
        <color rgb="FF000000"/>
        <rFont val="Arial"/>
      </rPr>
      <t xml:space="preserve">I H
</t>
    </r>
    <r>
      <rPr>
        <sz val="10"/>
        <color rgb="FF000000"/>
        <rFont val="Arial"/>
      </rPr>
      <t>0 = Old Age and Survivors Insurance (OASI)
1 = Disability Insurance Benefits (DIB)
2 = ESRD
3 = Both DIB and ESRD
4 = Unknown</t>
    </r>
  </si>
  <si>
    <t>BENE_ENTLMT_BUYIN_IND</t>
  </si>
  <si>
    <t>Beneficiary Entitlement Buy- in Indicator</t>
  </si>
  <si>
    <r>
      <t xml:space="preserve">Indicates for each month of the denominator reference year, the entitlement of the beneficiary to Medicare Part A, Medicare Part B, or Medicare Parts A and B both, as well as whether or not the beneficiary’s state of residence was liable and paid for the beneficiary’s Medicare Part B monthly premiums. </t>
    </r>
    <r>
      <rPr>
        <vertAlign val="superscript"/>
        <sz val="10"/>
        <color rgb="FF000000"/>
        <rFont val="Arial"/>
      </rPr>
      <t xml:space="preserve">I H
</t>
    </r>
    <r>
      <rPr>
        <sz val="10"/>
        <color rgb="FF000000"/>
        <rFont val="Arial"/>
      </rPr>
      <t>0 = Not Entitled
1 = Part A Only
2 = Part B Only
3 = Part A and Part B
A = Part A, State Buy-In
B = Part B, State Buy-In
C = Parts A and B, State Buy- In</t>
    </r>
  </si>
  <si>
    <t>BENE_PART_A_ENRLMT_BGN_DT</t>
  </si>
  <si>
    <t>Bene Entitlement Part A Begin Date</t>
  </si>
  <si>
    <t>The date that a beneficiary is entitled for Medicare Part A benefits.</t>
  </si>
  <si>
    <t>BENE_PART_B_ENRLMT_BGN_DT</t>
  </si>
  <si>
    <t>Bene Entitlement Part B Begin Date</t>
  </si>
  <si>
    <t>The date that a beneficiary is entitled for Medicare Part B benefits.</t>
  </si>
  <si>
    <t>BENE_LINE_1_ADR</t>
  </si>
  <si>
    <t>Beneficiary Derived Mailing Line One Address</t>
  </si>
  <si>
    <t>X(45)</t>
  </si>
  <si>
    <r>
      <t xml:space="preserve">The first line of the street address. </t>
    </r>
    <r>
      <rPr>
        <vertAlign val="superscript"/>
        <sz val="10"/>
        <color rgb="FF000000"/>
        <rFont val="Arial"/>
      </rPr>
      <t>I</t>
    </r>
  </si>
  <si>
    <t>BENE_LINE_2_ADR</t>
  </si>
  <si>
    <t>Beneficiary Derived Mailing Line Two Address</t>
  </si>
  <si>
    <r>
      <t xml:space="preserve">The second line of the street address. </t>
    </r>
    <r>
      <rPr>
        <vertAlign val="superscript"/>
        <sz val="10"/>
        <color rgb="FF000000"/>
        <rFont val="Arial"/>
      </rPr>
      <t>I</t>
    </r>
  </si>
  <si>
    <t>BENE_LINE_3_ADR</t>
  </si>
  <si>
    <t>Beneficiary Derived Mailing Line Three Address</t>
  </si>
  <si>
    <r>
      <t xml:space="preserve">The third line of the street address. </t>
    </r>
    <r>
      <rPr>
        <vertAlign val="superscript"/>
        <sz val="10"/>
        <color rgb="FF000000"/>
        <rFont val="Arial"/>
      </rPr>
      <t>I</t>
    </r>
  </si>
  <si>
    <t>BENE_LINE_4_ADR</t>
  </si>
  <si>
    <t>Beneficiary Derived Mailing Line Four Address</t>
  </si>
  <si>
    <r>
      <t xml:space="preserve">The fourth line of the street address. </t>
    </r>
    <r>
      <rPr>
        <vertAlign val="superscript"/>
        <sz val="10"/>
        <color rgb="FF000000"/>
        <rFont val="Arial"/>
      </rPr>
      <t>I</t>
    </r>
  </si>
  <si>
    <t>BENE_LINE_5_ADR</t>
  </si>
  <si>
    <t>Beneficiary Derived Mailing Line Five Address</t>
  </si>
  <si>
    <r>
      <t xml:space="preserve">The fifth line of the street address. </t>
    </r>
    <r>
      <rPr>
        <vertAlign val="superscript"/>
        <sz val="10"/>
        <color rgb="FF000000"/>
        <rFont val="Arial"/>
      </rPr>
      <t>I</t>
    </r>
  </si>
  <si>
    <t>BENE_LINE_6_ADR</t>
  </si>
  <si>
    <t>Beneficiary Derived Mailing Line Six Address</t>
  </si>
  <si>
    <r>
      <t xml:space="preserve">The sixth line of the street address. </t>
    </r>
    <r>
      <rPr>
        <vertAlign val="superscript"/>
        <sz val="10"/>
        <color rgb="FF000000"/>
        <rFont val="Arial"/>
      </rPr>
      <t>I</t>
    </r>
  </si>
  <si>
    <t>Beneficiary City</t>
  </si>
  <si>
    <t>X(100)</t>
  </si>
  <si>
    <r>
      <t xml:space="preserve">The name of the city. </t>
    </r>
    <r>
      <rPr>
        <vertAlign val="superscript"/>
        <sz val="10"/>
        <color rgb="FF000000"/>
        <rFont val="Arial"/>
      </rPr>
      <t>I</t>
    </r>
  </si>
  <si>
    <t>Beneficiary State</t>
  </si>
  <si>
    <r>
      <t xml:space="preserve">State code used by the United States Postal Service to identify a state. </t>
    </r>
    <r>
      <rPr>
        <vertAlign val="superscript"/>
        <sz val="10"/>
        <color rgb="FF000000"/>
        <rFont val="Arial"/>
      </rPr>
      <t>I</t>
    </r>
  </si>
  <si>
    <t>Beneficiary Zip Code</t>
  </si>
  <si>
    <r>
      <t xml:space="preserve">The US Postal Service code that is associated with a geographical area. </t>
    </r>
    <r>
      <rPr>
        <vertAlign val="superscript"/>
        <sz val="10"/>
        <color rgb="FF000000"/>
        <rFont val="Arial"/>
      </rPr>
      <t>I</t>
    </r>
  </si>
  <si>
    <t>GEO_ZIP4_CD</t>
  </si>
  <si>
    <t>Beneficiary Zip Code Ext.</t>
  </si>
  <si>
    <t>X(4)</t>
  </si>
  <si>
    <r>
      <t xml:space="preserve">A four-digit extension to a ZIP Code that represents a subdivision for mailing purposes of the ZIP Code. </t>
    </r>
    <r>
      <rPr>
        <vertAlign val="superscript"/>
        <sz val="10"/>
        <color rgb="FF000000"/>
        <rFont val="Arial"/>
      </rPr>
      <t>I</t>
    </r>
  </si>
  <si>
    <t>CCLF9</t>
  </si>
  <si>
    <t>HICN_MBI_XREF_IND…</t>
  </si>
  <si>
    <t>HICN/MBI XREF Indicator…</t>
  </si>
  <si>
    <r>
      <t xml:space="preserve">M = MBI
</t>
    </r>
    <r>
      <rPr>
        <b/>
        <sz val="10"/>
        <color rgb="FF000000"/>
        <rFont val="Arial"/>
      </rPr>
      <t xml:space="preserve">Note: </t>
    </r>
    <r>
      <rPr>
        <i/>
        <sz val="10"/>
        <color rgb="FF000000"/>
        <rFont val="Arial"/>
      </rPr>
      <t>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t>
    </r>
  </si>
  <si>
    <t>CRNT_NUM</t>
  </si>
  <si>
    <t>Current Beneficiary Identifier</t>
  </si>
  <si>
    <r>
      <t xml:space="preserve">Current Beneficiary MBI will denote the MBI.
</t>
    </r>
    <r>
      <rPr>
        <b/>
        <sz val="10"/>
        <color rgb="FF000000"/>
        <rFont val="Arial"/>
      </rPr>
      <t xml:space="preserve">Note: </t>
    </r>
    <r>
      <rPr>
        <i/>
        <sz val="10"/>
        <color rgb="FF000000"/>
        <rFont val="Arial"/>
      </rPr>
      <t>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t>
    </r>
  </si>
  <si>
    <t>PRVS_NUM</t>
  </si>
  <si>
    <t>Previous Beneficiary Identifier</t>
  </si>
  <si>
    <r>
      <t xml:space="preserve">Previous Beneficiary MBI.
</t>
    </r>
    <r>
      <rPr>
        <b/>
        <sz val="10"/>
        <color rgb="FF000000"/>
        <rFont val="Arial"/>
      </rPr>
      <t xml:space="preserve">Note: </t>
    </r>
    <r>
      <rPr>
        <i/>
        <sz val="10"/>
        <color rgb="FF000000"/>
        <rFont val="Arial"/>
      </rPr>
      <t>To comply with MACRA of 2015, after the end of the New Medicare Card Transition Period in December 2019, only the MBI will be accepted on claims, and the HICN value  will no longer be displayed.
The HICN field will be blank in CCLFs generated effective January 1, 2020, onwards.</t>
    </r>
  </si>
  <si>
    <t>PRVS_ID_EFCTV_DT</t>
  </si>
  <si>
    <t>Previous Identifier Effective Date</t>
  </si>
  <si>
    <t>The date the previous identifier became active.</t>
  </si>
  <si>
    <t>PRVS_ID_OBSLT_DT</t>
  </si>
  <si>
    <t>Previous Identifier Obsolete Date</t>
  </si>
  <si>
    <t>The date the previous identifier ceased to be active.</t>
  </si>
  <si>
    <t>BENE_RRB_NUM</t>
  </si>
  <si>
    <t>Beneficiary Railroad Board Number</t>
  </si>
  <si>
    <t>X(12)</t>
  </si>
  <si>
    <r>
      <t xml:space="preserve">Legacy RRB number.
</t>
    </r>
    <r>
      <rPr>
        <b/>
        <sz val="10"/>
        <color rgb="FF000000"/>
        <rFont val="Arial"/>
      </rPr>
      <t xml:space="preserve">Note: </t>
    </r>
    <r>
      <rPr>
        <i/>
        <sz val="10"/>
        <color rgb="FF000000"/>
        <rFont val="Arial"/>
      </rPr>
      <t>To comply with MACRA of 2015, after the end of the New Medicare Card Transition Period in December 2019, only the Medicare Beneficiary Identifier (MBI) will be accepted on claims, and the HICN and RRB will no longer be displayed. These fields will be blank effective January 1, 2020, in CCLF files.</t>
    </r>
  </si>
  <si>
    <t>CCLFA</t>
  </si>
  <si>
    <t>Claim Admission Date</t>
  </si>
  <si>
    <r>
      <t xml:space="preserve">On an institutional claim, the date the beneficiary was admitted to the hospital, skilled nursing facility, or Christian science sanatorium. </t>
    </r>
    <r>
      <rPr>
        <vertAlign val="superscript"/>
        <sz val="10"/>
        <color rgb="FF000000"/>
        <rFont val="Arial"/>
      </rPr>
      <t>I H</t>
    </r>
  </si>
  <si>
    <t>PBP Benefit Enhancement Indicator</t>
  </si>
  <si>
    <r>
      <t xml:space="preserve">A single character code of “Y” or “N” that indicates whether a particular claim is tied to a PBP benefit enhancement. Blank if no data are available.
</t>
    </r>
    <r>
      <rPr>
        <b/>
        <sz val="10"/>
        <color rgb="FF000000"/>
        <rFont val="Arial"/>
      </rPr>
      <t>Note</t>
    </r>
    <r>
      <rPr>
        <sz val="10"/>
        <color rgb="FF000000"/>
        <rFont val="Arial"/>
      </rPr>
      <t xml:space="preserve">: </t>
    </r>
    <r>
      <rPr>
        <i/>
        <sz val="10"/>
        <color rgb="FF000000"/>
        <rFont val="Arial"/>
      </rPr>
      <t>This field was created for both NGACO and VTAPM models.
NGACO sunset in 2022 but this field will continue to be used for the VTAPM model.</t>
    </r>
  </si>
  <si>
    <t>Post Discharge Home Visit Benefit Enhancement Indicator</t>
  </si>
  <si>
    <r>
      <t xml:space="preserve">A single character code of “Y” or “N” that indicates whether a particular claim is tied to a Post Discharge Home Visit benefit enhancement. Blank if no data are available.
</t>
    </r>
    <r>
      <rPr>
        <b/>
        <sz val="10"/>
        <color rgb="FF000000"/>
        <rFont val="Arial"/>
      </rPr>
      <t>Note</t>
    </r>
    <r>
      <rPr>
        <sz val="10"/>
        <color rgb="FF000000"/>
        <rFont val="Arial"/>
      </rPr>
      <t xml:space="preserve">: </t>
    </r>
    <r>
      <rPr>
        <i/>
        <sz val="10"/>
        <color rgb="FF000000"/>
        <rFont val="Arial"/>
      </rPr>
      <t>This field was created for both NGACO and VTAPM models.
NGACO sunset in 2022 but this field will continue to be used for the VTAPM model.</t>
    </r>
  </si>
  <si>
    <t>SNF 3-Day Waiver Benefit Enhancement Indicator</t>
  </si>
  <si>
    <r>
      <t xml:space="preserve">A single character code of “Y” or “N” that indicates whether a particular claim is tied to a SNF 3-Day Waiver benefit enhancement. Blank if no data are available.
</t>
    </r>
    <r>
      <rPr>
        <b/>
        <sz val="10"/>
        <color rgb="FF000000"/>
        <rFont val="Arial"/>
      </rPr>
      <t xml:space="preserve">Note: </t>
    </r>
    <r>
      <rPr>
        <i/>
        <sz val="10"/>
        <color rgb="FF000000"/>
        <rFont val="Arial"/>
      </rPr>
      <t>This field was created for both NGACO and VTAPM models.
NGACO sunset in 2022 but this field will continue to be used for the VTAPM model.</t>
    </r>
  </si>
  <si>
    <t>Telehealth Benefit Enhancement Indicator</t>
  </si>
  <si>
    <r>
      <t xml:space="preserve">A single character code of “Y” or “N” that indicates whether a particular claim is tied to a Telehealth benefit enhancement.
Blank if no data are available.
</t>
    </r>
    <r>
      <rPr>
        <b/>
        <sz val="10"/>
        <color rgb="FF000000"/>
        <rFont val="Arial"/>
      </rPr>
      <t>Note</t>
    </r>
    <r>
      <rPr>
        <sz val="10"/>
        <color rgb="FF000000"/>
        <rFont val="Arial"/>
      </rPr>
      <t xml:space="preserve">: </t>
    </r>
    <r>
      <rPr>
        <i/>
        <sz val="10"/>
        <color rgb="FF000000"/>
        <rFont val="Arial"/>
      </rPr>
      <t>This field was created for both NGACO and VTAPM models.
NGACO sunset in 2022 but this field will continue to be used for the VTAPM model.</t>
    </r>
  </si>
  <si>
    <t>AIPBP Benefit Enhancement Indicator</t>
  </si>
  <si>
    <r>
      <t xml:space="preserve">A single character code of “Y” or “N” that indicates whether a particular claim is tied to an AIPBP benefit enhancement. Blank if no data are available.
</t>
    </r>
    <r>
      <rPr>
        <b/>
        <sz val="10"/>
        <color rgb="FF000000"/>
        <rFont val="Arial"/>
      </rPr>
      <t>Note</t>
    </r>
    <r>
      <rPr>
        <sz val="10"/>
        <color rgb="FF000000"/>
        <rFont val="Arial"/>
      </rPr>
      <t xml:space="preserve">: </t>
    </r>
    <r>
      <rPr>
        <i/>
        <sz val="10"/>
        <color rgb="FF000000"/>
        <rFont val="Arial"/>
      </rPr>
      <t>This field was created for both NGACO and VTAPM models.
NGACO sunset in 2022 but this field will continue to be used for the VTAPM model.</t>
    </r>
  </si>
  <si>
    <t>CLM_DEMO_1ST_NUM</t>
  </si>
  <si>
    <t>First Program Demonstration Number</t>
  </si>
  <si>
    <t>Medicare Demonstration Special Processing Number (SPN).
This is a first demonstration number.
This field will be used to hold the 2-byte number for future use with the Bundled Payments for Care Improvement initiative.</t>
  </si>
  <si>
    <t>CLM_DEMO_2ND_NUM</t>
  </si>
  <si>
    <t>Second Program Demonstration Number</t>
  </si>
  <si>
    <t>Medicare Demonstration Special Processing Number (SPN).
This is a second demonstration number.
This field will be used to hold the 2-byte number for future use with the Bundled Payments for Care Improvement initiative.</t>
  </si>
  <si>
    <t>CLM_DEMO_3RD_NUM</t>
  </si>
  <si>
    <t>Third Program Demonstration Number</t>
  </si>
  <si>
    <t>Medicare Demonstration Special Processing Number (SPN).
This is a third demonstration number.
This field will be used to hold the 2-byte number for future use with the Bundled Payments for Care Improvement initiative.</t>
  </si>
  <si>
    <t>CLM_DEMO_4TH_NUM</t>
  </si>
  <si>
    <t>Fourth Program Demonstration Number</t>
  </si>
  <si>
    <t>Medicare Demonstration Special Processing Number (SPN).
This is a fourth demonstration number.
This field will be used to hold the 2-byte number for future use with the Bundled Payments for Care Improvement initiative.</t>
  </si>
  <si>
    <t>CLM_DEMO_5TH_NUM</t>
  </si>
  <si>
    <t>Fifth Program Demonstration Number</t>
  </si>
  <si>
    <t>Medicare Demonstration Special Processing Number (SPN).
This is a fifth demonstration number.
This field will be used to hold the 2-byte number for future use with the Bundled Payments for Care Improvement initiative.</t>
  </si>
  <si>
    <t>CLM_PBP_INCLSN_AMT</t>
  </si>
  <si>
    <t>PBP/AIPBP Inclusion Amount</t>
  </si>
  <si>
    <t>-9(15).99</t>
  </si>
  <si>
    <t>The amount that would have been paid in the absence of PBP/ AIPBP Reduction.
The value for the PBP/AIPBP Inclusion Amount is derived from the table and column called “CMS_VIEW_CLM_PRD.CLM_VAL_AMT” when the value code within the field called “CLM_VAL_CD” equals “Q0.”</t>
  </si>
  <si>
    <t>CLM_PBP_RDCTN_AMT</t>
  </si>
  <si>
    <t>PBP/AIPBP Reduction Amount</t>
  </si>
  <si>
    <t>The PBP/AIPBP Reduction Amount withheld from payment to the Provider.
The value for the PBP/AIPBP Reduction Amount is derived from the table and column called “CMS_VIEW_CLM_PRD.CLM_VAL_AMT” when the value code within the field called “CLM_VAL_CD” equals “Q1.”</t>
  </si>
  <si>
    <t>CLM_NGACO_CMG_WVR_SW</t>
  </si>
  <si>
    <t>Care Management Home Visits</t>
  </si>
  <si>
    <r>
      <t xml:space="preserve">A single character code of “Y” or “N” that indicates whether a particular claim is tied to a Care Management Home Visits benefit enhancement.
Blank if no data are available.
</t>
    </r>
    <r>
      <rPr>
        <b/>
        <sz val="10"/>
        <color rgb="FF000000"/>
        <rFont val="Arial"/>
      </rPr>
      <t>Note</t>
    </r>
    <r>
      <rPr>
        <sz val="10"/>
        <color rgb="FF000000"/>
        <rFont val="Arial"/>
      </rPr>
      <t xml:space="preserve">: </t>
    </r>
    <r>
      <rPr>
        <i/>
        <sz val="10"/>
        <color rgb="FF000000"/>
        <rFont val="Arial"/>
      </rPr>
      <t>This field was created for both NGACO and VTAPM models.
NGACO sunset in 2022 but this field will continue to be used for the VTAPM model.</t>
    </r>
  </si>
  <si>
    <t>Claim Institutional Per Diem Amount</t>
  </si>
  <si>
    <t>The maximum amount a provider can be paid for each day of care.</t>
  </si>
  <si>
    <t>Claim Medicare Inpatient Beneficiary Deductible Amount</t>
  </si>
  <si>
    <t>The amount of the deductible the beneficiary paid for inpatient services, as originally submitted on the institutional claim.</t>
  </si>
  <si>
    <t>Claim Medicare Coinsurance Amount</t>
  </si>
  <si>
    <t>An amount identifying the portion applied toward the coinsurance a beneficiary is responsible for.</t>
  </si>
  <si>
    <t>Claim Blood Liability Amount</t>
  </si>
  <si>
    <t>An amount identifying the portion of the blood deductible a beneficiary is liable for.</t>
  </si>
  <si>
    <t>Claim Institutional Professional Amount</t>
  </si>
  <si>
    <t>For inpatient and outpatient claims, the amount of physician and other professional charges covered under Medicare Part B (e.g., if computing interim payment these charges are deducted)</t>
  </si>
  <si>
    <t>Claim Noncovered Charge Amount</t>
  </si>
  <si>
    <t>The charges for institutional long-term care are not reimbursable by the primary payer. The non-covered charges do not refer to charges not covered for any other service.</t>
  </si>
  <si>
    <t>Claim Medicare Deductible Amount</t>
  </si>
  <si>
    <t>An amount identifying the portion applied toward the deductible a beneficiary is responsible for.</t>
  </si>
  <si>
    <t>CLM_RLT_COND_CD</t>
  </si>
  <si>
    <t>Claim Related Condition Code Periodic interim payments (PIP) - 62</t>
  </si>
  <si>
    <t>The code that indicates a condition relating to an institutional claim that may affect payer processing.</t>
  </si>
  <si>
    <t>CLM_OPRTNL_OUTLR_AMT</t>
  </si>
  <si>
    <t>Operating Outlier Amount (DSH) - 17</t>
  </si>
  <si>
    <t>Operating Outlier Amount (DSH)</t>
  </si>
  <si>
    <t>CLM_MDCR_NEW_TECH_AMT</t>
  </si>
  <si>
    <t>Medicare new technology add-on payment - 77</t>
  </si>
  <si>
    <t>Medicare new technology add-on payment</t>
  </si>
  <si>
    <t>CLM_ISLET_ISOLN_AMT</t>
  </si>
  <si>
    <t>Islet Isolation Add- on payment amount - Q7</t>
  </si>
  <si>
    <t>Islet Isolation Add-on payment amount</t>
  </si>
  <si>
    <t>CLM_SQSTRTN_RDCTN_AMT</t>
  </si>
  <si>
    <t>Part A Sequestration reduction amounts - 73</t>
  </si>
  <si>
    <t>The payment to the provider will be reduced by the amount specified by CMS.</t>
  </si>
  <si>
    <t>Claim Adjustment Reason Code (CARC)</t>
  </si>
  <si>
    <t>A Fiscal Intermediary Shared System (FISS) code identifying the type of adjustment being performed.</t>
  </si>
  <si>
    <t>Claim Adjustment Segment (CAS) Group Code</t>
  </si>
  <si>
    <t>These codes categorize a payment adjustment.</t>
  </si>
  <si>
    <t>CLM_MIPS_PMT_AMT</t>
  </si>
  <si>
    <t>Capital MIPS Payment Costs</t>
  </si>
  <si>
    <t>Capital MIPS payment costs</t>
  </si>
  <si>
    <t>CCLFB</t>
  </si>
  <si>
    <t>Signifies the type of claim being submitted through the Medicare or Medicaid programs
Claim type code include:
71=RIC O local carrier non- DMEPOS claim
72=RIC O local carrier DMEPOS claim</t>
  </si>
  <si>
    <r>
      <t xml:space="preserve">A single character code of “Y” or “N” that indicates whether a particular claim line is tied to a PBP benefit enhancement. Blank if no data are available.
</t>
    </r>
    <r>
      <rPr>
        <b/>
        <sz val="10"/>
        <color rgb="FF000000"/>
        <rFont val="Arial"/>
      </rPr>
      <t>Note</t>
    </r>
    <r>
      <rPr>
        <sz val="10"/>
        <color rgb="FF000000"/>
        <rFont val="Arial"/>
      </rPr>
      <t xml:space="preserve">: </t>
    </r>
    <r>
      <rPr>
        <i/>
        <sz val="10"/>
        <color rgb="FF000000"/>
        <rFont val="Arial"/>
      </rPr>
      <t>This field was created for both NGACO and VTAPM models. NGACO sunset in 2022 but this field will continue to be used for the VTAPM model.</t>
    </r>
  </si>
  <si>
    <r>
      <t xml:space="preserve">A single character code of “Y” or “N” that indicates whether a particular claim line is tied to a Post Discharge Home Visit benefit enhancement. Blank if no data are available.
</t>
    </r>
    <r>
      <rPr>
        <b/>
        <sz val="10"/>
        <color rgb="FF000000"/>
        <rFont val="Arial"/>
      </rPr>
      <t>Note</t>
    </r>
    <r>
      <rPr>
        <sz val="10"/>
        <color rgb="FF000000"/>
        <rFont val="Arial"/>
      </rPr>
      <t xml:space="preserve">: </t>
    </r>
    <r>
      <rPr>
        <i/>
        <sz val="10"/>
        <color rgb="FF000000"/>
        <rFont val="Arial"/>
      </rPr>
      <t>This field was created for both NGACO and VTAPM models. NGACO sunset in 2022 but this field will continue to be used for the VTAPM model.</t>
    </r>
  </si>
  <si>
    <r>
      <t xml:space="preserve">A single character code of “Y” or “N” that indicates whether a particular claim line is tied to a SNF 3-Day Waiver benefit enhancement. Blank if no data are available.
</t>
    </r>
    <r>
      <rPr>
        <b/>
        <sz val="10"/>
        <color rgb="FF000000"/>
        <rFont val="Arial"/>
      </rPr>
      <t>Note</t>
    </r>
    <r>
      <rPr>
        <sz val="10"/>
        <color rgb="FF000000"/>
        <rFont val="Arial"/>
      </rPr>
      <t xml:space="preserve">: </t>
    </r>
    <r>
      <rPr>
        <i/>
        <sz val="10"/>
        <color rgb="FF000000"/>
        <rFont val="Arial"/>
      </rPr>
      <t>This field was created for both NGACO and VTAPM models. NGACO sunset in 2022 but this field will continue to be used for the VTAPM model.</t>
    </r>
  </si>
  <si>
    <r>
      <t xml:space="preserve">A single character code of “Y” or “N” that indicates whether a particular claim line is tied to a Telehealth benefit enhancement. Blank if no data are available.
</t>
    </r>
    <r>
      <rPr>
        <b/>
        <sz val="10"/>
        <color rgb="FF000000"/>
        <rFont val="Arial"/>
      </rPr>
      <t>Note</t>
    </r>
    <r>
      <rPr>
        <sz val="10"/>
        <color rgb="FF000000"/>
        <rFont val="Arial"/>
      </rPr>
      <t xml:space="preserve">: </t>
    </r>
    <r>
      <rPr>
        <i/>
        <sz val="10"/>
        <color rgb="FF000000"/>
        <rFont val="Arial"/>
      </rPr>
      <t>This field was created for both NGACO and VTAPM models. NGACO sunset in 2022 but this field will continue to be used for the VTAPM model.</t>
    </r>
  </si>
  <si>
    <r>
      <t xml:space="preserve">A single character code of “Y” or “N” that indicates whether a particular claim line is tied to an AIPBP benefit enhancement. Blank if no data are available.
</t>
    </r>
    <r>
      <rPr>
        <b/>
        <sz val="10"/>
        <color rgb="FF000000"/>
        <rFont val="Arial"/>
      </rPr>
      <t>Note</t>
    </r>
    <r>
      <rPr>
        <sz val="10"/>
        <color rgb="FF000000"/>
        <rFont val="Arial"/>
      </rPr>
      <t xml:space="preserve">: </t>
    </r>
    <r>
      <rPr>
        <i/>
        <sz val="10"/>
        <color rgb="FF000000"/>
        <rFont val="Arial"/>
      </rPr>
      <t>This field was created for both NGACO and VTAPM models. NGACO sunset in 2022 but this field will continue to be used for the VTAPM model.</t>
    </r>
  </si>
  <si>
    <t>The amount that would have been paid in the absence of PBP/AIPBP Reduction.
The value for the PBP/AIPBP Inclusion Amount is derived from the table and column called “CMS_VIEW_CLM_PRD.CLM_LINE_OTHR_APLD_AMT” when the value code within the field called “CLM_LINE_OTHR_APLD_CD” equals “J.”</t>
  </si>
  <si>
    <t>The PBP/AIPBP Reduction Amount withheld from payment to the Provider.
The value for the PBP/AIPBP Reduction Amount is derived from the table and column called “CMS_VIEW_CLM_PRD.CLM_LINE_OTHR_APLD_AMT” when the value code within the field called “CLM_LINE_OTHR_APLD_CD” equals “L.”</t>
  </si>
  <si>
    <r>
      <t xml:space="preserve">A single character code of “Y” or “N” that indicates whether a particular claim is tied to a Care Management Home Visits benefit enhancement. Blank if no data are available.
</t>
    </r>
    <r>
      <rPr>
        <b/>
        <i/>
        <sz val="10"/>
        <color rgb="FF000000"/>
        <rFont val="Arial"/>
      </rPr>
      <t>Note</t>
    </r>
    <r>
      <rPr>
        <i/>
        <sz val="10"/>
        <color rgb="FF000000"/>
        <rFont val="Arial"/>
      </rPr>
      <t>: This field was created for both NGACO and VTAPM models. NGACO sunset in 2022 but this field will continue to be used for the VTAPM model.</t>
    </r>
  </si>
  <si>
    <t>Amount indicates the Medicare deductible amount billed to Medicaid for this service. The Medicare Deductible Amount does not necessarily reflect the amount actually paid.</t>
  </si>
  <si>
    <t>Part B Sequestration reduction amounts</t>
  </si>
  <si>
    <t>The payment to the provider will be reduced by the amount specified by CMS. Only one period has been defined by CMS for a 2% reduction that began on 04/01/2013 as part of government sequestration.</t>
  </si>
  <si>
    <t>Claim Line Carrier Health Professional Shortage Area Scarcity Code</t>
  </si>
  <si>
    <t>A code used to track the Health Professional Shortage Area (HPSA) related bonus payments on Part B Professional claims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</si>
</sst>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m\ d\,\ yyyy"/>
  </numFmts>
  <fonts count="19">
    <font>
      <sz val="10"/>
      <color rgb="FF000000"/>
      <name val="Arial"/>
      <scheme val="minor"/>
    </font>
    <font>
      <b/>
      <sz val="10"/>
      <color theme="1"/>
      <name val="Arial"/>
      <scheme val="minor"/>
    </font>
    <font>
      <b/>
      <sz val="10"/>
      <color theme="0"/>
      <name val="Arial"/>
      <scheme val="minor"/>
    </font>
    <font>
      <b/>
      <sz val="10"/>
      <color theme="0"/>
      <name val="Arial"/>
    </font>
    <font>
      <sz val="10"/>
      <color theme="0"/>
      <name val="Arial"/>
      <scheme val="minor"/>
    </font>
    <font>
      <sz val="10"/>
      <color theme="1"/>
      <name val="Arial"/>
    </font>
    <font>
      <sz val="10"/>
      <color rgb="FF000000"/>
      <name val="Arial"/>
    </font>
    <font>
      <vertAlign val="superscript"/>
      <sz val="10"/>
      <color rgb="FF000000"/>
      <name val="Arial"/>
    </font>
    <font>
      <b/>
      <sz val="10"/>
      <color rgb="FF000000"/>
      <name val="Arial"/>
    </font>
    <font>
      <i/>
      <sz val="10"/>
      <color rgb="FF000000"/>
      <name val="Arial"/>
    </font>
    <font>
      <u/>
      <sz val="10"/>
      <color rgb="FF000000"/>
      <name val="Arial"/>
    </font>
    <font>
      <u/>
      <sz val="10"/>
      <color rgb="FF0000FF"/>
      <name val="Arial"/>
    </font>
    <font>
      <sz val="10"/>
      <color rgb="FF0000FF"/>
      <name val="Arial"/>
    </font>
    <font>
      <i/>
      <sz val="10"/>
      <color rgb="FF1D1C1D"/>
      <name val="Arial"/>
    </font>
    <font>
      <sz val="10"/>
      <color rgb="FF1D1C1D"/>
      <name val="Arial"/>
    </font>
    <font>
      <i/>
      <u/>
      <sz val="10"/>
      <color rgb="FF0000FF"/>
      <name val="Arial"/>
    </font>
    <font>
      <i/>
      <sz val="10"/>
      <color rgb="FF0000FF"/>
      <name val="Arial"/>
    </font>
    <font>
      <b/>
      <i/>
      <sz val="10"/>
      <color rgb="FF000000"/>
      <name val="Arial"/>
    </font>
    <font>
      <sz val="10"/>
      <color theme="1"/>
      <name val="Arial"/>
      <scheme val="minor"/>
    </font>
  </fonts>
  <fills count="7">
    <fill>
      <patternFill patternType="none"/>
    </fill>
    <fill>
      <patternFill patternType="gray125"/>
    </fill>
    <fill>
      <patternFill patternType="solid">
        <fgColor rgb="FF2458AC"/>
        <bgColor rgb="FF2458AC"/>
      </patternFill>
    </fill>
    <fill>
      <patternFill patternType="solid">
        <fgColor rgb="FFFFFFFF"/>
        <bgColor rgb="FFFFFFFF"/>
      </patternFill>
    </fill>
    <fill>
      <patternFill patternType="solid">
        <fgColor rgb="FFD5D5D5"/>
        <bgColor rgb="FFD5D5D5"/>
      </patternFill>
    </fill>
    <fill>
      <patternFill patternType="solid">
        <fgColor rgb="FFE3ECFE"/>
        <bgColor rgb="FFE3ECFE"/>
      </patternFill>
    </fill>
    <fill>
      <patternFill patternType="solid">
        <fgColor rgb="FF2458AC"/>
        <bgColor indexed="64"/>
      </patternFill>
    </fill>
  </fills>
  <borders count="1">
    <border>
      <left/>
      <right/>
      <top/>
      <bottom/>
      <diagonal/>
    </border>
  </borders>
  <cellStyleXfs count="1">
    <xf numFmtId="0" fontId="0" fillId="0" borderId="0"/>
  </cellStyleXfs>
  <cellXfs count="35">
    <xf numFmtId="0" fontId="0" fillId="0" borderId="0" xfId="0" applyFont="1" applyAlignment="1"/>
    <xf numFmtId="0" fontId="0" fillId="0" borderId="0" xfId="0" applyFont="1" applyAlignment="1">
      <alignment wrapText="1"/>
    </xf>
    <xf numFmtId="0" fontId="2" fillId="6" borderId="0" xfId="0" applyFont="1" applyFill="1" applyAlignment="1"/>
    <xf numFmtId="0" fontId="2" fillId="6" borderId="0" xfId="0" applyFont="1" applyFill="1" applyAlignment="1">
      <alignment wrapText="1"/>
    </xf>
    <xf numFmtId="0" fontId="3" fillId="0" borderId="0" xfId="0" applyFont="1" applyAlignment="1">
      <alignment horizontal="left" vertical="top" wrapText="1"/>
    </xf>
    <xf numFmtId="49" fontId="3" fillId="0" borderId="0" xfId="0" applyNumberFormat="1" applyFont="1" applyAlignment="1">
      <alignment horizontal="left" vertical="top" wrapText="1"/>
    </xf>
    <xf numFmtId="0" fontId="4" fillId="0" borderId="0" xfId="0" applyFont="1" applyAlignment="1"/>
    <xf numFmtId="0" fontId="5" fillId="0" borderId="0" xfId="0" applyFont="1" applyAlignment="1">
      <alignment horizontal="left" vertical="top" wrapText="1"/>
    </xf>
    <xf numFmtId="1" fontId="6" fillId="0" borderId="0" xfId="0" applyNumberFormat="1" applyFont="1" applyAlignment="1">
      <alignment vertical="top" wrapText="1"/>
    </xf>
    <xf numFmtId="0" fontId="6" fillId="0" borderId="0" xfId="0" applyFont="1" applyAlignment="1">
      <alignment horizontal="left" vertical="top" wrapText="1"/>
    </xf>
    <xf numFmtId="1" fontId="6" fillId="0" borderId="0" xfId="0" applyNumberFormat="1" applyFont="1" applyAlignment="1">
      <alignment horizontal="left" vertical="top" wrapText="1"/>
    </xf>
    <xf numFmtId="0" fontId="10" fillId="0" borderId="0" xfId="0" applyFont="1" applyAlignment="1">
      <alignment horizontal="left" vertical="top" wrapText="1"/>
    </xf>
    <xf numFmtId="0" fontId="8" fillId="3" borderId="0" xfId="0" applyFont="1" applyFill="1" applyAlignment="1">
      <alignment vertical="top" wrapText="1"/>
    </xf>
    <xf numFmtId="0" fontId="6" fillId="3" borderId="0" xfId="0" applyFont="1" applyFill="1" applyAlignment="1">
      <alignment vertical="top" wrapText="1"/>
    </xf>
    <xf numFmtId="164" fontId="6" fillId="3" borderId="0" xfId="0" applyNumberFormat="1" applyFont="1" applyFill="1" applyAlignment="1">
      <alignment horizontal="left" vertical="top" wrapText="1"/>
    </xf>
    <xf numFmtId="0" fontId="8" fillId="4" borderId="0" xfId="0" applyFont="1" applyFill="1" applyAlignment="1">
      <alignment vertical="top" wrapText="1"/>
    </xf>
    <xf numFmtId="0" fontId="8" fillId="5" borderId="0" xfId="0" applyFont="1" applyFill="1" applyAlignment="1">
      <alignment vertical="top" wrapText="1"/>
    </xf>
    <xf numFmtId="0" fontId="6" fillId="5" borderId="0" xfId="0" applyFont="1" applyFill="1" applyAlignment="1">
      <alignment vertical="top" wrapText="1"/>
    </xf>
    <xf numFmtId="0" fontId="18" fillId="0" borderId="0" xfId="0" applyFont="1" applyAlignment="1">
      <alignment wrapText="1"/>
    </xf>
    <xf numFmtId="0" fontId="2" fillId="0" borderId="0" xfId="0" applyFont="1" applyAlignment="1">
      <alignment vertical="top"/>
    </xf>
    <xf numFmtId="0" fontId="2" fillId="0" borderId="0" xfId="0" applyFont="1" applyAlignment="1">
      <alignment vertical="top" wrapText="1"/>
    </xf>
    <xf numFmtId="0" fontId="0" fillId="0" borderId="0" xfId="0" applyFont="1" applyAlignment="1">
      <alignment vertical="top"/>
    </xf>
    <xf numFmtId="0" fontId="0" fillId="0" borderId="0" xfId="0" applyFont="1" applyAlignment="1">
      <alignment vertical="top" wrapText="1"/>
    </xf>
    <xf numFmtId="0" fontId="0" fillId="3" borderId="0" xfId="0" applyFill="1"/>
    <xf numFmtId="0" fontId="0" fillId="3" borderId="0" xfId="0" applyFont="1" applyFill="1" applyAlignment="1">
      <alignment wrapText="1"/>
    </xf>
    <xf numFmtId="0" fontId="0" fillId="5" borderId="0" xfId="0" applyFill="1"/>
    <xf numFmtId="0" fontId="0" fillId="5" borderId="0" xfId="0" applyFont="1" applyFill="1" applyAlignment="1">
      <alignment wrapText="1"/>
    </xf>
    <xf numFmtId="0" fontId="3" fillId="6" borderId="0" xfId="0" applyFont="1" applyFill="1" applyAlignment="1">
      <alignment vertical="top" wrapText="1"/>
    </xf>
    <xf numFmtId="0" fontId="4" fillId="6" borderId="0" xfId="0" applyFont="1" applyFill="1" applyAlignment="1">
      <alignment vertical="top" wrapText="1"/>
    </xf>
    <xf numFmtId="0" fontId="3" fillId="2" borderId="0" xfId="0" applyFont="1" applyFill="1" applyAlignment="1">
      <alignment vertical="top" wrapText="1"/>
    </xf>
    <xf numFmtId="0" fontId="4" fillId="2" borderId="0" xfId="0" applyFont="1" applyFill="1" applyAlignment="1">
      <alignment vertical="top" wrapText="1"/>
    </xf>
    <xf numFmtId="0" fontId="1" fillId="3" borderId="0" xfId="0" applyFont="1" applyFill="1" applyAlignment="1">
      <alignment vertical="top" wrapText="1"/>
    </xf>
    <xf numFmtId="0" fontId="18" fillId="3" borderId="0" xfId="0" applyFont="1" applyFill="1" applyAlignment="1">
      <alignment wrapText="1"/>
    </xf>
    <xf numFmtId="0" fontId="1" fillId="5" borderId="0" xfId="0" applyFont="1" applyFill="1" applyAlignment="1">
      <alignment vertical="top" wrapText="1"/>
    </xf>
    <xf numFmtId="0" fontId="18" fillId="5" borderId="0" xfId="0" applyFont="1" applyFill="1" applyAlignment="1">
      <alignment wrapText="1"/>
    </xf>
  </cellXfs>
  <cellStyles count="1">
    <cellStyle name="Normal" xfId="0" builtinId="0"/>
  </cellStyles>
  <dxfs count="52">
    <dxf>
      <font>
        <sz val="10"/>
        <color theme="1"/>
      </font>
      <alignment horizontal="left" vertical="top" textRotation="0" wrapText="1" indent="0" justifyLastLine="0" shrinkToFit="0" readingOrder="0"/>
    </dxf>
    <dxf>
      <font>
        <sz val="10"/>
        <color theme="1"/>
      </font>
      <alignment horizontal="left" vertical="top" textRotation="0" wrapText="1" indent="0" justifyLastLine="0" shrinkToFit="0" readingOrder="0"/>
    </dxf>
    <dxf>
      <font>
        <sz val="10"/>
        <color theme="1"/>
      </font>
      <alignment horizontal="left" vertical="top" textRotation="0" wrapText="1" indent="0" justifyLastLine="0" shrinkToFit="0" readingOrder="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color theme="0"/>
      </fon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wrapText="1"/>
    </dxf>
    <dxf>
      <alignment vertical="top"/>
    </dxf>
    <dxf>
      <alignment vertical="top"/>
    </dxf>
    <dxf>
      <alignment vertical="top"/>
    </dxf>
    <dxf>
      <font>
        <b/>
        <color theme="0"/>
      </font>
      <alignment vertical="top"/>
    </dxf>
    <dxf>
      <fill>
        <patternFill patternType="solid">
          <fgColor rgb="FFE3ECFE"/>
          <bgColor rgb="FFE3ECFE"/>
        </patternFill>
      </fill>
    </dxf>
    <dxf>
      <fill>
        <patternFill patternType="solid">
          <fgColor rgb="FFFFFFFF"/>
          <bgColor rgb="FFFFFFFF"/>
        </patternFill>
      </fill>
    </dxf>
    <dxf>
      <fill>
        <patternFill patternType="solid">
          <fgColor rgb="FF2458AC"/>
          <bgColor rgb="FF2458AC"/>
        </patternFill>
      </fill>
    </dxf>
    <dxf>
      <fill>
        <patternFill patternType="solid">
          <fgColor rgb="FFE3ECFE"/>
          <bgColor rgb="FFE3ECFE"/>
        </patternFill>
      </fill>
    </dxf>
    <dxf>
      <fill>
        <patternFill patternType="solid">
          <fgColor rgb="FFFFFFFF"/>
          <bgColor rgb="FFFFFFFF"/>
        </patternFill>
      </fill>
    </dxf>
    <dxf>
      <fill>
        <patternFill patternType="solid">
          <fgColor rgb="FF2458AC"/>
          <bgColor rgb="FF2458AC"/>
        </patternFill>
      </fill>
    </dxf>
    <dxf>
      <border>
        <left style="thin">
          <color rgb="FF2458AC"/>
        </left>
        <right style="thin">
          <color rgb="FF2458AC"/>
        </right>
        <top style="thin">
          <color rgb="FF2458AC"/>
        </top>
        <bottom style="thin">
          <color rgb="FF2458AC"/>
        </bottom>
      </border>
    </dxf>
    <dxf>
      <fill>
        <patternFill patternType="solid">
          <fgColor rgb="FFE3ECFE"/>
          <bgColor rgb="FFE3ECFE"/>
        </patternFill>
      </fill>
    </dxf>
    <dxf>
      <fill>
        <patternFill patternType="solid">
          <fgColor rgb="FFFFFFFF"/>
          <bgColor rgb="FFFFFFFF"/>
        </patternFill>
      </fill>
    </dxf>
    <dxf>
      <fill>
        <patternFill patternType="solid">
          <fgColor rgb="FF2458AC"/>
          <bgColor rgb="FF2458AC"/>
        </patternFill>
      </fill>
    </dxf>
    <dxf>
      <border>
        <left style="thin">
          <color rgb="FF2458AC"/>
        </left>
        <right style="thin">
          <color rgb="FF2458AC"/>
        </right>
        <top style="thin">
          <color rgb="FF2458AC"/>
        </top>
        <bottom style="thin">
          <color rgb="FF2458AC"/>
        </bottom>
      </border>
    </dxf>
    <dxf>
      <fill>
        <patternFill patternType="solid">
          <fgColor rgb="FFE3ECFE"/>
          <bgColor rgb="FFE3ECFE"/>
        </patternFill>
      </fill>
    </dxf>
    <dxf>
      <fill>
        <patternFill patternType="solid">
          <fgColor rgb="FFFFFFFF"/>
          <bgColor rgb="FFFFFFFF"/>
        </patternFill>
      </fill>
    </dxf>
    <dxf>
      <fill>
        <patternFill patternType="solid">
          <fgColor rgb="FF2458AC"/>
          <bgColor rgb="FF2458AC"/>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s>
  <tableStyles count="5">
    <tableStyle name="Overview-style" pivot="0" count="3" xr9:uid="{00000000-0011-0000-FFFF-FFFF00000000}">
      <tableStyleElement type="headerRow" dxfId="51"/>
      <tableStyleElement type="firstRowStripe" dxfId="50"/>
      <tableStyleElement type="secondRowStripe" dxfId="49"/>
    </tableStyle>
    <tableStyle name="Overview-style 2" pivot="0" count="3" xr9:uid="{00000000-0011-0000-FFFF-FFFF01000000}">
      <tableStyleElement type="headerRow" dxfId="48"/>
      <tableStyleElement type="firstRowStripe" dxfId="47"/>
      <tableStyleElement type="secondRowStripe" dxfId="46"/>
    </tableStyle>
    <tableStyle name="Data Dictionary-style" pivot="0" count="4" xr9:uid="{00000000-0011-0000-FFFF-FFFF02000000}">
      <tableStyleElement type="wholeTable" size="0" dxfId="45"/>
      <tableStyleElement type="headerRow" dxfId="44"/>
      <tableStyleElement type="firstRowStripe" dxfId="43"/>
      <tableStyleElement type="secondRowStripe" dxfId="42"/>
    </tableStyle>
    <tableStyle name="CCLF-BCDA v3 Mapping-style" pivot="0" count="4" xr9:uid="{00000000-0011-0000-FFFF-FFFF03000000}">
      <tableStyleElement type="wholeTable" size="0" dxfId="41"/>
      <tableStyleElement type="headerRow" dxfId="40"/>
      <tableStyleElement type="firstRowStripe" dxfId="39"/>
      <tableStyleElement type="secondRowStripe" dxfId="38"/>
    </tableStyle>
    <tableStyle name="CCLF fields absent from BCDA v3-style" pivot="0" count="3" xr9:uid="{00000000-0011-0000-FFFF-FFFF04000000}">
      <tableStyleElement type="headerRow" dxfId="37"/>
      <tableStyleElement type="firstRowStripe" dxfId="36"/>
      <tableStyleElement type="secondRowStripe" dxfId="35"/>
    </tableStyle>
  </tableStyles>
  <colors>
    <mruColors>
      <color rgb="FF2458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D2C6910-88B1-4160-A5FB-BC3527DF2CC5}" name="Data_Dictionary" displayName="Data_Dictionary" ref="A1:P340" totalsRowShown="0" headerRowDxfId="34" dataDxfId="33">
  <autoFilter ref="A1:P340" xr:uid="{3D2C6910-88B1-4160-A5FB-BC3527DF2CC5}"/>
  <tableColumns count="16">
    <tableColumn id="1" xr3:uid="{90526844-5772-4959-9481-1AC8951DB24C}" name="Row" dataDxfId="32"/>
    <tableColumn id="2" xr3:uid="{397B3A3C-BCED-4663-930C-A12900F1BC77}" name="Field Name" dataDxfId="31"/>
    <tableColumn id="3" xr3:uid="{C3759935-99B8-4EEA-A49A-B94D65F61638}" name="Description" dataDxfId="30"/>
    <tableColumn id="4" xr3:uid="{522700DB-9AFF-475A-851F-E2EAC24132D6}" name="FHIR Resource" dataDxfId="29"/>
    <tableColumn id="5" xr3:uid="{1E12480A-EAF3-415C-8981-9CFF864C7587}" name="Coverage / Claim Type" dataDxfId="28"/>
    <tableColumn id="6" xr3:uid="{A0BCFB39-0932-45AA-9FD1-D507F86DB0DC}" name="fhirPath" dataDxfId="27"/>
    <tableColumn id="7" xr3:uid="{B1995CD0-8010-44F6-931F-DF782C5FB4B4}" name="example" dataDxfId="26"/>
    <tableColumn id="8" xr3:uid="{813D1CB3-E413-4A0F-807D-A47C4F450949}" name="notes" dataDxfId="25"/>
    <tableColumn id="9" xr3:uid="{512C94D5-CC08-4DF5-96CD-C31BEDD655A0}" name="sourceView" dataDxfId="24"/>
    <tableColumn id="10" xr3:uid="{2D1A40D0-BD4E-4529-B616-2E6C64F94A8E}" name="sourceColumn" dataDxfId="23"/>
    <tableColumn id="11" xr3:uid="{C04427D3-330C-4D3B-A40B-11FAC1D208C4}" name="bfdDerived" dataDxfId="22"/>
    <tableColumn id="12" xr3:uid="{2951D999-BBA9-4074-9A71-52EA28A964AA}" name="sources" dataDxfId="21"/>
    <tableColumn id="13" xr3:uid="{A5B55601-71EC-41D7-BF65-AB5F53BAF96E}" name="referenceTable" dataDxfId="20"/>
    <tableColumn id="14" xr3:uid="{F0C85CD8-9C71-41D4-A221-044B56D11F1B}" name="cclfMapping" dataDxfId="19"/>
    <tableColumn id="15" xr3:uid="{4B448255-7DC3-4944-A608-4A4251C3B548}" name="ccwMapping" dataDxfId="18"/>
    <tableColumn id="16" xr3:uid="{9C399994-A667-47ED-9D75-E26F32EAE924}" name="profiles" dataDxfId="17"/>
  </tableColumns>
  <tableStyleInfo name="Data Dictionary-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CLF_BCDA_v3_Mapping" displayName="CCLF_BCDA_v3_Mapping" ref="A1:N294" headerRowDxfId="16" dataDxfId="15" totalsRowDxfId="14">
  <autoFilter ref="A1:N294" xr:uid="{00000000-0009-0000-0100-000004000000}"/>
  <tableColumns count="14">
    <tableColumn id="1" xr3:uid="{00000000-0010-0000-0300-000001000000}" name="CCLF File" dataDxfId="13"/>
    <tableColumn id="2" xr3:uid="{00000000-0010-0000-0300-000002000000}" name="Element #" dataDxfId="12"/>
    <tableColumn id="3" xr3:uid="{00000000-0010-0000-0300-000003000000}" name="Field Label" dataDxfId="11"/>
    <tableColumn id="4" xr3:uid="{00000000-0010-0000-0300-000004000000}" name="Field Name" dataDxfId="10"/>
    <tableColumn id="5" xr3:uid="{00000000-0010-0000-0300-000005000000}" name="Start Position" dataDxfId="9"/>
    <tableColumn id="6" xr3:uid="{00000000-0010-0000-0300-000006000000}" name="End Position" dataDxfId="8"/>
    <tableColumn id="7" xr3:uid="{00000000-0010-0000-0300-000007000000}" name="Data Length" dataDxfId="7"/>
    <tableColumn id="8" xr3:uid="{00000000-0010-0000-0300-000008000000}" name="Format" dataDxfId="6"/>
    <tableColumn id="9" xr3:uid="{00000000-0010-0000-0300-000009000000}" name="Field Description" dataDxfId="5"/>
    <tableColumn id="10" xr3:uid="{00000000-0010-0000-0300-00000A000000}" name="id" dataDxfId="4"/>
    <tableColumn id="11" xr3:uid="{00000000-0010-0000-0300-00000B000000}" name="File &amp; Label name" dataDxfId="3"/>
    <tableColumn id="12" xr3:uid="{00000000-0010-0000-0300-00000C000000}" name="BFD Mapping (sourceColumn)" dataDxfId="2">
      <calculatedColumnFormula>_xlfn.XLOOKUP("*'"&amp;K2&amp;"'*",Data_Dictionary[cclfMapping],Data_Dictionary[Field Name],,2)</calculatedColumnFormula>
    </tableColumn>
    <tableColumn id="13" xr3:uid="{00000000-0010-0000-0300-00000D000000}" name="BFD Field Name" dataDxfId="1">
      <calculatedColumnFormula>_xlfn.XLOOKUP("*'"&amp;K2&amp;"'*",Data_Dictionary[cclfMapping],Data_Dictionary[Field Name],,2)</calculatedColumnFormula>
    </tableColumn>
    <tableColumn id="14" xr3:uid="{00000000-0010-0000-0300-00000E000000}" name="FHIR Path" dataDxfId="0">
      <calculatedColumnFormula>_xlfn.XLOOKUP("*'"&amp;K2&amp;"'*",Data_Dictionary[cclfMapping],Data_Dictionary[fhirPath],,2)</calculatedColumnFormula>
    </tableColumn>
  </tableColumns>
  <tableStyleInfo name="Data Dictionar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94"/>
  <sheetViews>
    <sheetView tabSelected="1" workbookViewId="0">
      <selection activeCell="B5" sqref="B5"/>
    </sheetView>
  </sheetViews>
  <sheetFormatPr defaultColWidth="12.5703125" defaultRowHeight="15.75" customHeight="1"/>
  <cols>
    <col min="1" max="1" width="27.7109375" customWidth="1"/>
    <col min="2" max="2" width="88.28515625" customWidth="1"/>
  </cols>
  <sheetData>
    <row r="1" spans="1:2" ht="18.75" customHeight="1">
      <c r="A1" s="27" t="s">
        <v>0</v>
      </c>
      <c r="B1" s="28"/>
    </row>
    <row r="2" spans="1:2" ht="48">
      <c r="A2" s="12" t="s">
        <v>1</v>
      </c>
      <c r="B2" s="13" t="s">
        <v>2</v>
      </c>
    </row>
    <row r="3" spans="1:2" ht="12.75">
      <c r="A3" s="12" t="s">
        <v>3</v>
      </c>
      <c r="B3" s="14">
        <v>46129</v>
      </c>
    </row>
    <row r="4" spans="1:2" ht="12.75">
      <c r="A4" s="29" t="s">
        <v>4</v>
      </c>
      <c r="B4" s="30"/>
    </row>
    <row r="5" spans="1:2" ht="12.75">
      <c r="A5" s="15" t="s">
        <v>5</v>
      </c>
      <c r="B5" s="15" t="s">
        <v>6</v>
      </c>
    </row>
    <row r="6" spans="1:2" ht="24">
      <c r="A6" s="12" t="s">
        <v>7</v>
      </c>
      <c r="B6" s="13" t="s">
        <v>8</v>
      </c>
    </row>
    <row r="7" spans="1:2" ht="24">
      <c r="A7" s="16" t="s">
        <v>9</v>
      </c>
      <c r="B7" s="17" t="s">
        <v>10</v>
      </c>
    </row>
    <row r="8" spans="1:2" ht="24">
      <c r="A8" s="12" t="s">
        <v>11</v>
      </c>
      <c r="B8" s="13" t="s">
        <v>12</v>
      </c>
    </row>
    <row r="9" spans="1:2" ht="12.75">
      <c r="A9" s="3" t="s">
        <v>13</v>
      </c>
      <c r="B9" s="3"/>
    </row>
    <row r="10" spans="1:2" ht="12.75">
      <c r="A10" s="15" t="s">
        <v>14</v>
      </c>
      <c r="B10" s="15" t="s">
        <v>15</v>
      </c>
    </row>
    <row r="11" spans="1:2" ht="24">
      <c r="A11" s="31" t="s">
        <v>16</v>
      </c>
      <c r="B11" s="32" t="s">
        <v>17</v>
      </c>
    </row>
    <row r="12" spans="1:2" ht="36">
      <c r="A12" s="33" t="s">
        <v>18</v>
      </c>
      <c r="B12" s="34" t="s">
        <v>19</v>
      </c>
    </row>
    <row r="13" spans="1:2" ht="48">
      <c r="A13" s="31" t="s">
        <v>20</v>
      </c>
      <c r="B13" s="32" t="s">
        <v>21</v>
      </c>
    </row>
    <row r="14" spans="1:2" ht="12.75">
      <c r="A14" s="33" t="s">
        <v>22</v>
      </c>
      <c r="B14" s="34" t="s">
        <v>23</v>
      </c>
    </row>
    <row r="15" spans="1:2" ht="36">
      <c r="A15" s="31" t="s">
        <v>24</v>
      </c>
      <c r="B15" s="32" t="s">
        <v>25</v>
      </c>
    </row>
    <row r="16" spans="1:2" ht="60">
      <c r="A16" s="33" t="s">
        <v>26</v>
      </c>
      <c r="B16" s="34" t="s">
        <v>27</v>
      </c>
    </row>
    <row r="17" spans="1:2" ht="12.75">
      <c r="A17" s="31" t="s">
        <v>28</v>
      </c>
      <c r="B17" s="32" t="s">
        <v>29</v>
      </c>
    </row>
    <row r="18" spans="1:2" ht="36">
      <c r="A18" s="33" t="s">
        <v>30</v>
      </c>
      <c r="B18" s="34" t="s">
        <v>31</v>
      </c>
    </row>
    <row r="19" spans="1:2" ht="24">
      <c r="A19" s="31" t="s">
        <v>32</v>
      </c>
      <c r="B19" s="32" t="s">
        <v>33</v>
      </c>
    </row>
    <row r="20" spans="1:2" ht="12.75">
      <c r="A20" s="29" t="s">
        <v>34</v>
      </c>
      <c r="B20" s="30"/>
    </row>
    <row r="21" spans="1:2" ht="12.75">
      <c r="A21" s="15" t="s">
        <v>35</v>
      </c>
      <c r="B21" s="15" t="s">
        <v>36</v>
      </c>
    </row>
    <row r="22" spans="1:2" ht="12.75">
      <c r="A22" s="12" t="s">
        <v>37</v>
      </c>
      <c r="B22" s="13" t="s">
        <v>38</v>
      </c>
    </row>
    <row r="23" spans="1:2" ht="12.75">
      <c r="A23" s="16" t="s">
        <v>39</v>
      </c>
      <c r="B23" s="17" t="s">
        <v>40</v>
      </c>
    </row>
    <row r="24" spans="1:2" ht="12.75">
      <c r="A24" s="18"/>
      <c r="B24" s="18"/>
    </row>
    <row r="25" spans="1:2" ht="12.75">
      <c r="A25" s="18"/>
      <c r="B25" s="18"/>
    </row>
    <row r="26" spans="1:2" ht="12.75">
      <c r="A26" s="18"/>
      <c r="B26" s="18"/>
    </row>
    <row r="27" spans="1:2" ht="12.75">
      <c r="A27" s="18"/>
      <c r="B27" s="18"/>
    </row>
    <row r="28" spans="1:2" ht="12.75">
      <c r="A28" s="18"/>
      <c r="B28" s="18"/>
    </row>
    <row r="29" spans="1:2" ht="12.75">
      <c r="A29" s="18"/>
      <c r="B29" s="18"/>
    </row>
    <row r="30" spans="1:2" ht="12.75">
      <c r="A30" s="18"/>
      <c r="B30" s="18"/>
    </row>
    <row r="31" spans="1:2" ht="12.75">
      <c r="A31" s="18"/>
      <c r="B31" s="18"/>
    </row>
    <row r="32" spans="1:2" ht="12.75">
      <c r="A32" s="18"/>
      <c r="B32" s="18"/>
    </row>
    <row r="33" spans="1:2" ht="12.75">
      <c r="A33" s="18"/>
      <c r="B33" s="18"/>
    </row>
    <row r="34" spans="1:2" ht="12.75">
      <c r="A34" s="18"/>
      <c r="B34" s="18"/>
    </row>
    <row r="35" spans="1:2" ht="12.75">
      <c r="A35" s="18"/>
      <c r="B35" s="18"/>
    </row>
    <row r="36" spans="1:2" ht="12.75">
      <c r="A36" s="18"/>
      <c r="B36" s="18"/>
    </row>
    <row r="37" spans="1:2" ht="12.75">
      <c r="A37" s="18"/>
      <c r="B37" s="18"/>
    </row>
    <row r="38" spans="1:2" ht="12.75">
      <c r="A38" s="18"/>
      <c r="B38" s="18"/>
    </row>
    <row r="39" spans="1:2" ht="12.75">
      <c r="A39" s="18"/>
      <c r="B39" s="18"/>
    </row>
    <row r="40" spans="1:2" ht="12.75">
      <c r="A40" s="18"/>
      <c r="B40" s="18"/>
    </row>
    <row r="41" spans="1:2" ht="12.75">
      <c r="A41" s="18"/>
      <c r="B41" s="18"/>
    </row>
    <row r="42" spans="1:2" ht="12.75">
      <c r="A42" s="18"/>
      <c r="B42" s="18"/>
    </row>
    <row r="43" spans="1:2" ht="12.75">
      <c r="A43" s="18"/>
      <c r="B43" s="18"/>
    </row>
    <row r="44" spans="1:2" ht="12.75">
      <c r="A44" s="18"/>
      <c r="B44" s="18"/>
    </row>
    <row r="45" spans="1:2" ht="12.75">
      <c r="A45" s="18"/>
      <c r="B45" s="18"/>
    </row>
    <row r="46" spans="1:2" ht="12.75">
      <c r="A46" s="18"/>
      <c r="B46" s="18"/>
    </row>
    <row r="47" spans="1:2" ht="12.75">
      <c r="A47" s="18"/>
      <c r="B47" s="18"/>
    </row>
    <row r="48" spans="1:2" ht="12.75">
      <c r="A48" s="18"/>
      <c r="B48" s="18"/>
    </row>
    <row r="49" spans="1:2" ht="12.75">
      <c r="A49" s="18"/>
      <c r="B49" s="18"/>
    </row>
    <row r="50" spans="1:2" ht="12.75">
      <c r="A50" s="18"/>
      <c r="B50" s="18"/>
    </row>
    <row r="51" spans="1:2" ht="12.75">
      <c r="A51" s="18"/>
      <c r="B51" s="18"/>
    </row>
    <row r="52" spans="1:2" ht="12.75">
      <c r="A52" s="18"/>
      <c r="B52" s="18"/>
    </row>
    <row r="53" spans="1:2" ht="12.75">
      <c r="A53" s="18"/>
      <c r="B53" s="18"/>
    </row>
    <row r="54" spans="1:2" ht="12.75">
      <c r="A54" s="18"/>
      <c r="B54" s="18"/>
    </row>
    <row r="55" spans="1:2" ht="12.75">
      <c r="A55" s="18"/>
      <c r="B55" s="18"/>
    </row>
    <row r="56" spans="1:2" ht="12.75">
      <c r="A56" s="18"/>
      <c r="B56" s="18"/>
    </row>
    <row r="57" spans="1:2" ht="12.75">
      <c r="A57" s="18"/>
      <c r="B57" s="18"/>
    </row>
    <row r="58" spans="1:2" ht="12.75">
      <c r="A58" s="18"/>
      <c r="B58" s="18"/>
    </row>
    <row r="59" spans="1:2" ht="12.75">
      <c r="A59" s="18"/>
      <c r="B59" s="18"/>
    </row>
    <row r="60" spans="1:2" ht="12.75">
      <c r="A60" s="18"/>
      <c r="B60" s="18"/>
    </row>
    <row r="61" spans="1:2" ht="12.75">
      <c r="A61" s="18"/>
      <c r="B61" s="18"/>
    </row>
    <row r="62" spans="1:2" ht="12.75">
      <c r="A62" s="18"/>
      <c r="B62" s="18"/>
    </row>
    <row r="63" spans="1:2" ht="12.75">
      <c r="A63" s="18"/>
      <c r="B63" s="18"/>
    </row>
    <row r="64" spans="1:2" ht="12.75">
      <c r="A64" s="18"/>
      <c r="B64" s="18"/>
    </row>
    <row r="65" spans="1:2" ht="12.75">
      <c r="A65" s="18"/>
      <c r="B65" s="18"/>
    </row>
    <row r="66" spans="1:2" ht="12.75">
      <c r="A66" s="18"/>
      <c r="B66" s="18"/>
    </row>
    <row r="67" spans="1:2" ht="12.75">
      <c r="A67" s="18"/>
      <c r="B67" s="18"/>
    </row>
    <row r="68" spans="1:2" ht="12.75">
      <c r="A68" s="18"/>
      <c r="B68" s="18"/>
    </row>
    <row r="69" spans="1:2" ht="12.75">
      <c r="A69" s="18"/>
      <c r="B69" s="18"/>
    </row>
    <row r="70" spans="1:2" ht="12.75">
      <c r="A70" s="18"/>
      <c r="B70" s="18"/>
    </row>
    <row r="71" spans="1:2" ht="12.75">
      <c r="A71" s="18"/>
      <c r="B71" s="18"/>
    </row>
    <row r="72" spans="1:2" ht="12.75">
      <c r="A72" s="18"/>
      <c r="B72" s="18"/>
    </row>
    <row r="73" spans="1:2" ht="12.75">
      <c r="A73" s="18"/>
      <c r="B73" s="18"/>
    </row>
    <row r="74" spans="1:2" ht="12.75">
      <c r="A74" s="18"/>
      <c r="B74" s="18"/>
    </row>
    <row r="75" spans="1:2" ht="12.75">
      <c r="A75" s="18"/>
      <c r="B75" s="18"/>
    </row>
    <row r="76" spans="1:2" ht="12.75">
      <c r="A76" s="18"/>
      <c r="B76" s="18"/>
    </row>
    <row r="77" spans="1:2" ht="12.75">
      <c r="A77" s="18"/>
      <c r="B77" s="18"/>
    </row>
    <row r="78" spans="1:2" ht="12.75">
      <c r="A78" s="18"/>
      <c r="B78" s="18"/>
    </row>
    <row r="79" spans="1:2" ht="12.75">
      <c r="A79" s="18"/>
      <c r="B79" s="18"/>
    </row>
    <row r="80" spans="1:2" ht="12.75">
      <c r="A80" s="18"/>
      <c r="B80" s="18"/>
    </row>
    <row r="81" spans="1:2" ht="12.75">
      <c r="A81" s="18"/>
      <c r="B81" s="18"/>
    </row>
    <row r="82" spans="1:2" ht="12.75">
      <c r="A82" s="18"/>
      <c r="B82" s="18"/>
    </row>
    <row r="83" spans="1:2" ht="12.75">
      <c r="A83" s="18"/>
      <c r="B83" s="18"/>
    </row>
    <row r="84" spans="1:2" ht="12.75">
      <c r="A84" s="18"/>
      <c r="B84" s="18"/>
    </row>
    <row r="85" spans="1:2" ht="12.75">
      <c r="A85" s="18"/>
      <c r="B85" s="18"/>
    </row>
    <row r="86" spans="1:2" ht="12.75">
      <c r="A86" s="18"/>
      <c r="B86" s="18"/>
    </row>
    <row r="87" spans="1:2" ht="12.75">
      <c r="A87" s="18"/>
      <c r="B87" s="18"/>
    </row>
    <row r="88" spans="1:2" ht="12.75">
      <c r="A88" s="18"/>
      <c r="B88" s="18"/>
    </row>
    <row r="89" spans="1:2" ht="12.75">
      <c r="A89" s="18"/>
      <c r="B89" s="18"/>
    </row>
    <row r="90" spans="1:2" ht="12.75">
      <c r="A90" s="18"/>
      <c r="B90" s="18"/>
    </row>
    <row r="91" spans="1:2" ht="12.75">
      <c r="A91" s="18"/>
      <c r="B91" s="18"/>
    </row>
    <row r="92" spans="1:2" ht="12.75">
      <c r="A92" s="18"/>
      <c r="B92" s="18"/>
    </row>
    <row r="93" spans="1:2" ht="12.75">
      <c r="A93" s="18"/>
      <c r="B93" s="18"/>
    </row>
    <row r="94" spans="1:2" ht="12.75">
      <c r="A94" s="18"/>
      <c r="B94" s="18"/>
    </row>
    <row r="95" spans="1:2" ht="12.75">
      <c r="A95" s="18"/>
      <c r="B95" s="18"/>
    </row>
    <row r="96" spans="1:2" ht="12.75">
      <c r="A96" s="18"/>
      <c r="B96" s="18"/>
    </row>
    <row r="97" spans="1:2" ht="12.75">
      <c r="A97" s="18"/>
      <c r="B97" s="18"/>
    </row>
    <row r="98" spans="1:2" ht="12.75">
      <c r="A98" s="18"/>
      <c r="B98" s="18"/>
    </row>
    <row r="99" spans="1:2" ht="12.75">
      <c r="A99" s="18"/>
      <c r="B99" s="18"/>
    </row>
    <row r="100" spans="1:2" ht="12.75">
      <c r="A100" s="18"/>
      <c r="B100" s="18"/>
    </row>
    <row r="101" spans="1:2" ht="12.75">
      <c r="A101" s="18"/>
      <c r="B101" s="18"/>
    </row>
    <row r="102" spans="1:2" ht="12.75">
      <c r="A102" s="18"/>
      <c r="B102" s="18"/>
    </row>
    <row r="103" spans="1:2" ht="12.75">
      <c r="A103" s="18"/>
      <c r="B103" s="18"/>
    </row>
    <row r="104" spans="1:2" ht="12.75">
      <c r="A104" s="18"/>
      <c r="B104" s="18"/>
    </row>
    <row r="105" spans="1:2" ht="12.75">
      <c r="A105" s="18"/>
      <c r="B105" s="18"/>
    </row>
    <row r="106" spans="1:2" ht="12.75">
      <c r="A106" s="18"/>
      <c r="B106" s="18"/>
    </row>
    <row r="107" spans="1:2" ht="12.75">
      <c r="A107" s="18"/>
      <c r="B107" s="18"/>
    </row>
    <row r="108" spans="1:2" ht="12.75">
      <c r="A108" s="18"/>
      <c r="B108" s="18"/>
    </row>
    <row r="109" spans="1:2" ht="12.75">
      <c r="A109" s="18"/>
      <c r="B109" s="18"/>
    </row>
    <row r="110" spans="1:2" ht="12.75">
      <c r="A110" s="18"/>
      <c r="B110" s="18"/>
    </row>
    <row r="111" spans="1:2" ht="12.75">
      <c r="A111" s="18"/>
      <c r="B111" s="18"/>
    </row>
    <row r="112" spans="1:2" ht="12.75">
      <c r="A112" s="18"/>
      <c r="B112" s="18"/>
    </row>
    <row r="113" spans="1:2" ht="12.75">
      <c r="A113" s="18"/>
      <c r="B113" s="18"/>
    </row>
    <row r="114" spans="1:2" ht="12.75">
      <c r="A114" s="18"/>
      <c r="B114" s="18"/>
    </row>
    <row r="115" spans="1:2" ht="12.75">
      <c r="A115" s="18"/>
      <c r="B115" s="18"/>
    </row>
    <row r="116" spans="1:2" ht="12.75">
      <c r="A116" s="18"/>
      <c r="B116" s="18"/>
    </row>
    <row r="117" spans="1:2" ht="12.75">
      <c r="A117" s="18"/>
      <c r="B117" s="18"/>
    </row>
    <row r="118" spans="1:2" ht="12.75">
      <c r="A118" s="18"/>
      <c r="B118" s="18"/>
    </row>
    <row r="119" spans="1:2" ht="12.75">
      <c r="A119" s="18"/>
      <c r="B119" s="18"/>
    </row>
    <row r="120" spans="1:2" ht="12.75">
      <c r="A120" s="18"/>
      <c r="B120" s="18"/>
    </row>
    <row r="121" spans="1:2" ht="12.75">
      <c r="A121" s="18"/>
      <c r="B121" s="18"/>
    </row>
    <row r="122" spans="1:2" ht="12.75">
      <c r="A122" s="18"/>
      <c r="B122" s="18"/>
    </row>
    <row r="123" spans="1:2" ht="12.75">
      <c r="A123" s="18"/>
      <c r="B123" s="18"/>
    </row>
    <row r="124" spans="1:2" ht="12.75">
      <c r="A124" s="18"/>
      <c r="B124" s="18"/>
    </row>
    <row r="125" spans="1:2" ht="12.75">
      <c r="A125" s="18"/>
      <c r="B125" s="18"/>
    </row>
    <row r="126" spans="1:2" ht="12.75">
      <c r="A126" s="18"/>
      <c r="B126" s="18"/>
    </row>
    <row r="127" spans="1:2" ht="12.75">
      <c r="A127" s="18"/>
      <c r="B127" s="18"/>
    </row>
    <row r="128" spans="1:2" ht="12.75">
      <c r="A128" s="18"/>
      <c r="B128" s="18"/>
    </row>
    <row r="129" spans="1:2" ht="12.75">
      <c r="A129" s="18"/>
      <c r="B129" s="18"/>
    </row>
    <row r="130" spans="1:2" ht="12.75">
      <c r="A130" s="18"/>
      <c r="B130" s="18"/>
    </row>
    <row r="131" spans="1:2" ht="12.75">
      <c r="A131" s="18"/>
      <c r="B131" s="18"/>
    </row>
    <row r="132" spans="1:2" ht="12.75">
      <c r="A132" s="18"/>
      <c r="B132" s="18"/>
    </row>
    <row r="133" spans="1:2" ht="12.75">
      <c r="A133" s="18"/>
      <c r="B133" s="18"/>
    </row>
    <row r="134" spans="1:2" ht="12.75">
      <c r="A134" s="18"/>
      <c r="B134" s="18"/>
    </row>
    <row r="135" spans="1:2" ht="12.75">
      <c r="A135" s="18"/>
      <c r="B135" s="18"/>
    </row>
    <row r="136" spans="1:2" ht="12.75">
      <c r="A136" s="18"/>
      <c r="B136" s="18"/>
    </row>
    <row r="137" spans="1:2" ht="12.75">
      <c r="A137" s="18"/>
      <c r="B137" s="18"/>
    </row>
    <row r="138" spans="1:2" ht="12.75">
      <c r="A138" s="18"/>
      <c r="B138" s="18"/>
    </row>
    <row r="139" spans="1:2" ht="12.75">
      <c r="A139" s="18"/>
      <c r="B139" s="18"/>
    </row>
    <row r="140" spans="1:2" ht="12.75">
      <c r="A140" s="18"/>
      <c r="B140" s="18"/>
    </row>
    <row r="141" spans="1:2" ht="12.75">
      <c r="A141" s="18"/>
      <c r="B141" s="18"/>
    </row>
    <row r="142" spans="1:2" ht="12.75">
      <c r="A142" s="18"/>
      <c r="B142" s="18"/>
    </row>
    <row r="143" spans="1:2" ht="12.75">
      <c r="A143" s="18"/>
      <c r="B143" s="18"/>
    </row>
    <row r="144" spans="1:2" ht="12.75">
      <c r="A144" s="18"/>
      <c r="B144" s="18"/>
    </row>
    <row r="145" spans="1:2" ht="12.75">
      <c r="A145" s="18"/>
      <c r="B145" s="18"/>
    </row>
    <row r="146" spans="1:2" ht="12.75">
      <c r="A146" s="18"/>
      <c r="B146" s="18"/>
    </row>
    <row r="147" spans="1:2" ht="12.75">
      <c r="A147" s="18"/>
      <c r="B147" s="18"/>
    </row>
    <row r="148" spans="1:2" ht="12.75">
      <c r="A148" s="18"/>
      <c r="B148" s="18"/>
    </row>
    <row r="149" spans="1:2" ht="12.75">
      <c r="A149" s="18"/>
      <c r="B149" s="18"/>
    </row>
    <row r="150" spans="1:2" ht="12.75">
      <c r="A150" s="18"/>
      <c r="B150" s="18"/>
    </row>
    <row r="151" spans="1:2" ht="12.75">
      <c r="A151" s="18"/>
      <c r="B151" s="18"/>
    </row>
    <row r="152" spans="1:2" ht="12.75">
      <c r="A152" s="18"/>
      <c r="B152" s="18"/>
    </row>
    <row r="153" spans="1:2" ht="12.75">
      <c r="A153" s="18"/>
      <c r="B153" s="18"/>
    </row>
    <row r="154" spans="1:2" ht="12.75">
      <c r="A154" s="18"/>
      <c r="B154" s="18"/>
    </row>
    <row r="155" spans="1:2" ht="12.75">
      <c r="A155" s="18"/>
      <c r="B155" s="18"/>
    </row>
    <row r="156" spans="1:2" ht="12.75">
      <c r="A156" s="18"/>
      <c r="B156" s="18"/>
    </row>
    <row r="157" spans="1:2" ht="12.75">
      <c r="A157" s="18"/>
      <c r="B157" s="18"/>
    </row>
    <row r="158" spans="1:2" ht="12.75">
      <c r="A158" s="18"/>
      <c r="B158" s="18"/>
    </row>
    <row r="159" spans="1:2" ht="12.75">
      <c r="A159" s="18"/>
      <c r="B159" s="18"/>
    </row>
    <row r="160" spans="1:2" ht="12.75">
      <c r="A160" s="18"/>
      <c r="B160" s="18"/>
    </row>
    <row r="161" spans="1:2" ht="12.75">
      <c r="A161" s="18"/>
      <c r="B161" s="18"/>
    </row>
    <row r="162" spans="1:2" ht="12.75">
      <c r="A162" s="18"/>
      <c r="B162" s="18"/>
    </row>
    <row r="163" spans="1:2" ht="12.75">
      <c r="A163" s="18"/>
      <c r="B163" s="18"/>
    </row>
    <row r="164" spans="1:2" ht="12.75">
      <c r="A164" s="18"/>
      <c r="B164" s="18"/>
    </row>
    <row r="165" spans="1:2" ht="12.75">
      <c r="A165" s="18"/>
      <c r="B165" s="18"/>
    </row>
    <row r="166" spans="1:2" ht="12.75">
      <c r="A166" s="18"/>
      <c r="B166" s="18"/>
    </row>
    <row r="167" spans="1:2" ht="12.75">
      <c r="A167" s="18"/>
      <c r="B167" s="18"/>
    </row>
    <row r="168" spans="1:2" ht="12.75">
      <c r="A168" s="18"/>
      <c r="B168" s="18"/>
    </row>
    <row r="169" spans="1:2" ht="12.75">
      <c r="A169" s="18"/>
      <c r="B169" s="18"/>
    </row>
    <row r="170" spans="1:2" ht="12.75">
      <c r="A170" s="18"/>
      <c r="B170" s="18"/>
    </row>
    <row r="171" spans="1:2" ht="12.75">
      <c r="A171" s="18"/>
      <c r="B171" s="18"/>
    </row>
    <row r="172" spans="1:2" ht="12.75">
      <c r="A172" s="18"/>
      <c r="B172" s="18"/>
    </row>
    <row r="173" spans="1:2" ht="12.75">
      <c r="A173" s="18"/>
      <c r="B173" s="18"/>
    </row>
    <row r="174" spans="1:2" ht="12.75">
      <c r="A174" s="18"/>
      <c r="B174" s="18"/>
    </row>
    <row r="175" spans="1:2" ht="12.75">
      <c r="A175" s="18"/>
      <c r="B175" s="18"/>
    </row>
    <row r="176" spans="1:2" ht="12.75">
      <c r="A176" s="18"/>
      <c r="B176" s="18"/>
    </row>
    <row r="177" spans="1:2" ht="12.75">
      <c r="A177" s="18"/>
      <c r="B177" s="18"/>
    </row>
    <row r="178" spans="1:2" ht="12.75">
      <c r="A178" s="18"/>
      <c r="B178" s="18"/>
    </row>
    <row r="179" spans="1:2" ht="12.75">
      <c r="A179" s="18"/>
      <c r="B179" s="18"/>
    </row>
    <row r="180" spans="1:2" ht="12.75">
      <c r="A180" s="18"/>
      <c r="B180" s="18"/>
    </row>
    <row r="181" spans="1:2" ht="12.75">
      <c r="A181" s="18"/>
      <c r="B181" s="18"/>
    </row>
    <row r="182" spans="1:2" ht="12.75">
      <c r="A182" s="18"/>
      <c r="B182" s="18"/>
    </row>
    <row r="183" spans="1:2" ht="12.75">
      <c r="A183" s="18"/>
      <c r="B183" s="18"/>
    </row>
    <row r="184" spans="1:2" ht="12.75">
      <c r="A184" s="18"/>
      <c r="B184" s="18"/>
    </row>
    <row r="185" spans="1:2" ht="12.75">
      <c r="A185" s="18"/>
      <c r="B185" s="18"/>
    </row>
    <row r="186" spans="1:2" ht="12.75">
      <c r="A186" s="18"/>
      <c r="B186" s="18"/>
    </row>
    <row r="187" spans="1:2" ht="12.75">
      <c r="A187" s="18"/>
      <c r="B187" s="18"/>
    </row>
    <row r="188" spans="1:2" ht="12.75">
      <c r="A188" s="18"/>
      <c r="B188" s="18"/>
    </row>
    <row r="189" spans="1:2" ht="12.75">
      <c r="A189" s="18"/>
      <c r="B189" s="18"/>
    </row>
    <row r="190" spans="1:2" ht="12.75">
      <c r="A190" s="18"/>
      <c r="B190" s="18"/>
    </row>
    <row r="191" spans="1:2" ht="12.75">
      <c r="A191" s="18"/>
      <c r="B191" s="18"/>
    </row>
    <row r="192" spans="1:2" ht="12.75">
      <c r="A192" s="18"/>
      <c r="B192" s="18"/>
    </row>
    <row r="193" spans="1:2" ht="12.75">
      <c r="A193" s="18"/>
      <c r="B193" s="18"/>
    </row>
    <row r="194" spans="1:2" ht="12.75">
      <c r="A194" s="18"/>
      <c r="B194" s="18"/>
    </row>
    <row r="195" spans="1:2" ht="12.75">
      <c r="A195" s="18"/>
      <c r="B195" s="18"/>
    </row>
    <row r="196" spans="1:2" ht="12.75">
      <c r="A196" s="18"/>
      <c r="B196" s="18"/>
    </row>
    <row r="197" spans="1:2" ht="12.75">
      <c r="A197" s="18"/>
      <c r="B197" s="18"/>
    </row>
    <row r="198" spans="1:2" ht="12.75">
      <c r="A198" s="18"/>
      <c r="B198" s="18"/>
    </row>
    <row r="199" spans="1:2" ht="12.75">
      <c r="A199" s="18"/>
      <c r="B199" s="18"/>
    </row>
    <row r="200" spans="1:2" ht="12.75">
      <c r="A200" s="18"/>
      <c r="B200" s="18"/>
    </row>
    <row r="201" spans="1:2" ht="12.75">
      <c r="A201" s="18"/>
      <c r="B201" s="18"/>
    </row>
    <row r="202" spans="1:2" ht="12.75">
      <c r="A202" s="18"/>
      <c r="B202" s="18"/>
    </row>
    <row r="203" spans="1:2" ht="12.75">
      <c r="A203" s="18"/>
      <c r="B203" s="18"/>
    </row>
    <row r="204" spans="1:2" ht="12.75">
      <c r="A204" s="18"/>
      <c r="B204" s="18"/>
    </row>
    <row r="205" spans="1:2" ht="12.75">
      <c r="A205" s="18"/>
      <c r="B205" s="18"/>
    </row>
    <row r="206" spans="1:2" ht="12.75">
      <c r="A206" s="18"/>
      <c r="B206" s="18"/>
    </row>
    <row r="207" spans="1:2" ht="12.75">
      <c r="A207" s="18"/>
      <c r="B207" s="18"/>
    </row>
    <row r="208" spans="1:2" ht="12.75">
      <c r="A208" s="18"/>
      <c r="B208" s="18"/>
    </row>
    <row r="209" spans="1:2" ht="12.75">
      <c r="A209" s="18"/>
      <c r="B209" s="18"/>
    </row>
    <row r="210" spans="1:2" ht="12.75">
      <c r="A210" s="18"/>
      <c r="B210" s="18"/>
    </row>
    <row r="211" spans="1:2" ht="12.75">
      <c r="A211" s="18"/>
      <c r="B211" s="18"/>
    </row>
    <row r="212" spans="1:2" ht="12.75">
      <c r="A212" s="18"/>
      <c r="B212" s="18"/>
    </row>
    <row r="213" spans="1:2" ht="12.75">
      <c r="A213" s="18"/>
      <c r="B213" s="18"/>
    </row>
    <row r="214" spans="1:2" ht="12.75">
      <c r="A214" s="18"/>
      <c r="B214" s="18"/>
    </row>
    <row r="215" spans="1:2" ht="12.75">
      <c r="A215" s="18"/>
      <c r="B215" s="18"/>
    </row>
    <row r="216" spans="1:2" ht="12.75">
      <c r="A216" s="18"/>
      <c r="B216" s="18"/>
    </row>
    <row r="217" spans="1:2" ht="12.75">
      <c r="A217" s="18"/>
      <c r="B217" s="18"/>
    </row>
    <row r="218" spans="1:2" ht="12.75">
      <c r="A218" s="18"/>
      <c r="B218" s="18"/>
    </row>
    <row r="219" spans="1:2" ht="12.75">
      <c r="A219" s="18"/>
      <c r="B219" s="18"/>
    </row>
    <row r="220" spans="1:2" ht="12.75">
      <c r="A220" s="18"/>
      <c r="B220" s="18"/>
    </row>
    <row r="221" spans="1:2" ht="12.75">
      <c r="A221" s="18"/>
      <c r="B221" s="18"/>
    </row>
    <row r="222" spans="1:2" ht="12.75">
      <c r="A222" s="18"/>
      <c r="B222" s="18"/>
    </row>
    <row r="223" spans="1:2" ht="12.75">
      <c r="A223" s="18"/>
      <c r="B223" s="18"/>
    </row>
    <row r="224" spans="1:2" ht="12.75">
      <c r="A224" s="18"/>
      <c r="B224" s="18"/>
    </row>
    <row r="225" spans="1:2" ht="12.75">
      <c r="A225" s="18"/>
      <c r="B225" s="18"/>
    </row>
    <row r="226" spans="1:2" ht="12.75">
      <c r="A226" s="18"/>
      <c r="B226" s="18"/>
    </row>
    <row r="227" spans="1:2" ht="12.75">
      <c r="A227" s="18"/>
      <c r="B227" s="18"/>
    </row>
    <row r="228" spans="1:2" ht="12.75">
      <c r="A228" s="18"/>
      <c r="B228" s="18"/>
    </row>
    <row r="229" spans="1:2" ht="12.75">
      <c r="A229" s="18"/>
      <c r="B229" s="18"/>
    </row>
    <row r="230" spans="1:2" ht="12.75">
      <c r="A230" s="18"/>
      <c r="B230" s="18"/>
    </row>
    <row r="231" spans="1:2" ht="12.75">
      <c r="A231" s="18"/>
      <c r="B231" s="18"/>
    </row>
    <row r="232" spans="1:2" ht="12.75">
      <c r="A232" s="18"/>
      <c r="B232" s="18"/>
    </row>
    <row r="233" spans="1:2" ht="12.75">
      <c r="A233" s="18"/>
      <c r="B233" s="18"/>
    </row>
    <row r="234" spans="1:2" ht="12.75">
      <c r="A234" s="18"/>
      <c r="B234" s="18"/>
    </row>
    <row r="235" spans="1:2" ht="12.75">
      <c r="A235" s="18"/>
      <c r="B235" s="18"/>
    </row>
    <row r="236" spans="1:2" ht="12.75">
      <c r="A236" s="18"/>
      <c r="B236" s="18"/>
    </row>
    <row r="237" spans="1:2" ht="12.75">
      <c r="A237" s="18"/>
      <c r="B237" s="18"/>
    </row>
    <row r="238" spans="1:2" ht="12.75">
      <c r="A238" s="18"/>
      <c r="B238" s="18"/>
    </row>
    <row r="239" spans="1:2" ht="12.75">
      <c r="A239" s="18"/>
      <c r="B239" s="18"/>
    </row>
    <row r="240" spans="1:2" ht="12.75">
      <c r="A240" s="18"/>
      <c r="B240" s="18"/>
    </row>
    <row r="241" spans="1:2" ht="12.75">
      <c r="A241" s="18"/>
      <c r="B241" s="18"/>
    </row>
    <row r="242" spans="1:2" ht="12.75">
      <c r="A242" s="18"/>
      <c r="B242" s="18"/>
    </row>
    <row r="243" spans="1:2" ht="12.75">
      <c r="A243" s="18"/>
      <c r="B243" s="18"/>
    </row>
    <row r="244" spans="1:2" ht="12.75">
      <c r="A244" s="18"/>
      <c r="B244" s="18"/>
    </row>
    <row r="245" spans="1:2" ht="12.75">
      <c r="A245" s="18"/>
      <c r="B245" s="18"/>
    </row>
    <row r="246" spans="1:2" ht="12.75">
      <c r="A246" s="18"/>
      <c r="B246" s="18"/>
    </row>
    <row r="247" spans="1:2" ht="12.75">
      <c r="A247" s="18"/>
      <c r="B247" s="18"/>
    </row>
    <row r="248" spans="1:2" ht="12.75">
      <c r="A248" s="18"/>
      <c r="B248" s="18"/>
    </row>
    <row r="249" spans="1:2" ht="12.75">
      <c r="A249" s="18"/>
      <c r="B249" s="18"/>
    </row>
    <row r="250" spans="1:2" ht="12.75">
      <c r="A250" s="18"/>
      <c r="B250" s="18"/>
    </row>
    <row r="251" spans="1:2" ht="12.75">
      <c r="A251" s="18"/>
      <c r="B251" s="18"/>
    </row>
    <row r="252" spans="1:2" ht="12.75">
      <c r="A252" s="18"/>
      <c r="B252" s="18"/>
    </row>
    <row r="253" spans="1:2" ht="12.75">
      <c r="A253" s="18"/>
      <c r="B253" s="18"/>
    </row>
    <row r="254" spans="1:2" ht="12.75">
      <c r="A254" s="18"/>
      <c r="B254" s="18"/>
    </row>
    <row r="255" spans="1:2" ht="12.75">
      <c r="A255" s="18"/>
      <c r="B255" s="18"/>
    </row>
    <row r="256" spans="1:2" ht="12.75">
      <c r="A256" s="18"/>
      <c r="B256" s="18"/>
    </row>
    <row r="257" spans="1:2" ht="12.75">
      <c r="A257" s="18"/>
      <c r="B257" s="18"/>
    </row>
    <row r="258" spans="1:2" ht="12.75">
      <c r="A258" s="18"/>
      <c r="B258" s="18"/>
    </row>
    <row r="259" spans="1:2" ht="12.75">
      <c r="A259" s="18"/>
      <c r="B259" s="18"/>
    </row>
    <row r="260" spans="1:2" ht="12.75">
      <c r="A260" s="18"/>
      <c r="B260" s="18"/>
    </row>
    <row r="261" spans="1:2" ht="12.75">
      <c r="A261" s="18"/>
      <c r="B261" s="18"/>
    </row>
    <row r="262" spans="1:2" ht="12.75">
      <c r="A262" s="18"/>
      <c r="B262" s="18"/>
    </row>
    <row r="263" spans="1:2" ht="12.75">
      <c r="A263" s="18"/>
      <c r="B263" s="18"/>
    </row>
    <row r="264" spans="1:2" ht="12.75">
      <c r="A264" s="18"/>
      <c r="B264" s="18"/>
    </row>
    <row r="265" spans="1:2" ht="12.75">
      <c r="A265" s="18"/>
      <c r="B265" s="18"/>
    </row>
    <row r="266" spans="1:2" ht="12.75">
      <c r="A266" s="18"/>
      <c r="B266" s="18"/>
    </row>
    <row r="267" spans="1:2" ht="12.75">
      <c r="A267" s="18"/>
      <c r="B267" s="18"/>
    </row>
    <row r="268" spans="1:2" ht="12.75">
      <c r="A268" s="18"/>
      <c r="B268" s="18"/>
    </row>
    <row r="269" spans="1:2" ht="12.75">
      <c r="A269" s="18"/>
      <c r="B269" s="18"/>
    </row>
    <row r="270" spans="1:2" ht="12.75">
      <c r="A270" s="18"/>
      <c r="B270" s="18"/>
    </row>
    <row r="271" spans="1:2" ht="12.75">
      <c r="A271" s="18"/>
      <c r="B271" s="18"/>
    </row>
    <row r="272" spans="1:2" ht="12.75">
      <c r="A272" s="18"/>
      <c r="B272" s="18"/>
    </row>
    <row r="273" spans="1:2" ht="12.75">
      <c r="A273" s="18"/>
      <c r="B273" s="18"/>
    </row>
    <row r="274" spans="1:2" ht="12.75">
      <c r="A274" s="18"/>
      <c r="B274" s="18"/>
    </row>
    <row r="275" spans="1:2" ht="12.75">
      <c r="A275" s="18"/>
      <c r="B275" s="18"/>
    </row>
    <row r="276" spans="1:2" ht="12.75">
      <c r="A276" s="18"/>
      <c r="B276" s="18"/>
    </row>
    <row r="277" spans="1:2" ht="12.75">
      <c r="A277" s="18"/>
      <c r="B277" s="18"/>
    </row>
    <row r="278" spans="1:2" ht="12.75">
      <c r="A278" s="18"/>
      <c r="B278" s="18"/>
    </row>
    <row r="279" spans="1:2" ht="12.75">
      <c r="A279" s="18"/>
      <c r="B279" s="18"/>
    </row>
    <row r="280" spans="1:2" ht="12.75">
      <c r="A280" s="18"/>
      <c r="B280" s="18"/>
    </row>
    <row r="281" spans="1:2" ht="12.75">
      <c r="A281" s="18"/>
      <c r="B281" s="18"/>
    </row>
    <row r="282" spans="1:2" ht="12.75">
      <c r="A282" s="18"/>
      <c r="B282" s="18"/>
    </row>
    <row r="283" spans="1:2" ht="12.75">
      <c r="A283" s="18"/>
      <c r="B283" s="18"/>
    </row>
    <row r="284" spans="1:2" ht="12.75">
      <c r="A284" s="18"/>
      <c r="B284" s="18"/>
    </row>
    <row r="285" spans="1:2" ht="12.75">
      <c r="A285" s="18"/>
      <c r="B285" s="18"/>
    </row>
    <row r="286" spans="1:2" ht="12.75">
      <c r="A286" s="18"/>
      <c r="B286" s="18"/>
    </row>
    <row r="287" spans="1:2" ht="12.75">
      <c r="A287" s="18"/>
      <c r="B287" s="18"/>
    </row>
    <row r="288" spans="1:2" ht="12.75">
      <c r="A288" s="18"/>
      <c r="B288" s="18"/>
    </row>
    <row r="289" spans="1:2" ht="12.75">
      <c r="A289" s="18"/>
      <c r="B289" s="18"/>
    </row>
    <row r="290" spans="1:2" ht="12.75">
      <c r="A290" s="18"/>
      <c r="B290" s="18"/>
    </row>
    <row r="291" spans="1:2" ht="12.75">
      <c r="A291" s="18"/>
      <c r="B291" s="18"/>
    </row>
    <row r="292" spans="1:2" ht="12.75">
      <c r="A292" s="18"/>
      <c r="B292" s="18"/>
    </row>
    <row r="293" spans="1:2" ht="12.75">
      <c r="A293" s="18"/>
      <c r="B293" s="18"/>
    </row>
    <row r="294" spans="1:2" ht="12.75">
      <c r="A294" s="18"/>
      <c r="B294" s="18"/>
    </row>
    <row r="295" spans="1:2" ht="12.75">
      <c r="A295" s="18"/>
      <c r="B295" s="18"/>
    </row>
    <row r="296" spans="1:2" ht="12.75">
      <c r="A296" s="18"/>
      <c r="B296" s="18"/>
    </row>
    <row r="297" spans="1:2" ht="12.75">
      <c r="A297" s="18"/>
      <c r="B297" s="18"/>
    </row>
    <row r="298" spans="1:2" ht="12.75">
      <c r="A298" s="18"/>
      <c r="B298" s="18"/>
    </row>
    <row r="299" spans="1:2" ht="12.75">
      <c r="A299" s="18"/>
      <c r="B299" s="18"/>
    </row>
    <row r="300" spans="1:2" ht="12.75">
      <c r="A300" s="18"/>
      <c r="B300" s="18"/>
    </row>
    <row r="301" spans="1:2" ht="12.75">
      <c r="A301" s="18"/>
      <c r="B301" s="18"/>
    </row>
    <row r="302" spans="1:2" ht="12.75">
      <c r="A302" s="18"/>
      <c r="B302" s="18"/>
    </row>
    <row r="303" spans="1:2" ht="12.75">
      <c r="A303" s="18"/>
      <c r="B303" s="18"/>
    </row>
    <row r="304" spans="1:2" ht="12.75">
      <c r="A304" s="18"/>
      <c r="B304" s="18"/>
    </row>
    <row r="305" spans="1:2" ht="12.75">
      <c r="A305" s="18"/>
      <c r="B305" s="18"/>
    </row>
    <row r="306" spans="1:2" ht="12.75">
      <c r="A306" s="18"/>
      <c r="B306" s="18"/>
    </row>
    <row r="307" spans="1:2" ht="12.75">
      <c r="A307" s="18"/>
      <c r="B307" s="18"/>
    </row>
    <row r="308" spans="1:2" ht="12.75">
      <c r="A308" s="18"/>
      <c r="B308" s="18"/>
    </row>
    <row r="309" spans="1:2" ht="12.75">
      <c r="A309" s="18"/>
      <c r="B309" s="18"/>
    </row>
    <row r="310" spans="1:2" ht="12.75">
      <c r="A310" s="18"/>
      <c r="B310" s="18"/>
    </row>
    <row r="311" spans="1:2" ht="12.75">
      <c r="A311" s="18"/>
      <c r="B311" s="18"/>
    </row>
    <row r="312" spans="1:2" ht="12.75">
      <c r="A312" s="18"/>
      <c r="B312" s="18"/>
    </row>
    <row r="313" spans="1:2" ht="12.75">
      <c r="A313" s="18"/>
      <c r="B313" s="18"/>
    </row>
    <row r="314" spans="1:2" ht="12.75">
      <c r="A314" s="18"/>
      <c r="B314" s="18"/>
    </row>
    <row r="315" spans="1:2" ht="12.75">
      <c r="A315" s="18"/>
      <c r="B315" s="18"/>
    </row>
    <row r="316" spans="1:2" ht="12.75">
      <c r="A316" s="18"/>
      <c r="B316" s="18"/>
    </row>
    <row r="317" spans="1:2" ht="12.75">
      <c r="A317" s="18"/>
      <c r="B317" s="18"/>
    </row>
    <row r="318" spans="1:2" ht="12.75">
      <c r="A318" s="18"/>
      <c r="B318" s="18"/>
    </row>
    <row r="319" spans="1:2" ht="12.75">
      <c r="A319" s="18"/>
      <c r="B319" s="18"/>
    </row>
    <row r="320" spans="1:2" ht="12.75">
      <c r="A320" s="18"/>
      <c r="B320" s="18"/>
    </row>
    <row r="321" spans="1:2" ht="12.75">
      <c r="A321" s="18"/>
      <c r="B321" s="18"/>
    </row>
    <row r="322" spans="1:2" ht="12.75">
      <c r="A322" s="18"/>
      <c r="B322" s="18"/>
    </row>
    <row r="323" spans="1:2" ht="12.75">
      <c r="A323" s="18"/>
      <c r="B323" s="18"/>
    </row>
    <row r="324" spans="1:2" ht="12.75">
      <c r="A324" s="18"/>
      <c r="B324" s="18"/>
    </row>
    <row r="325" spans="1:2" ht="12.75">
      <c r="A325" s="18"/>
      <c r="B325" s="18"/>
    </row>
    <row r="326" spans="1:2" ht="12.75">
      <c r="A326" s="18"/>
      <c r="B326" s="18"/>
    </row>
    <row r="327" spans="1:2" ht="12.75">
      <c r="A327" s="18"/>
      <c r="B327" s="18"/>
    </row>
    <row r="328" spans="1:2" ht="12.75">
      <c r="A328" s="18"/>
      <c r="B328" s="18"/>
    </row>
    <row r="329" spans="1:2" ht="12.75">
      <c r="A329" s="18"/>
      <c r="B329" s="18"/>
    </row>
    <row r="330" spans="1:2" ht="12.75">
      <c r="A330" s="18"/>
      <c r="B330" s="18"/>
    </row>
    <row r="331" spans="1:2" ht="12.75">
      <c r="A331" s="18"/>
      <c r="B331" s="18"/>
    </row>
    <row r="332" spans="1:2" ht="12.75">
      <c r="A332" s="18"/>
      <c r="B332" s="18"/>
    </row>
    <row r="333" spans="1:2" ht="12.75">
      <c r="A333" s="18"/>
      <c r="B333" s="18"/>
    </row>
    <row r="334" spans="1:2" ht="12.75">
      <c r="A334" s="18"/>
      <c r="B334" s="18"/>
    </row>
    <row r="335" spans="1:2" ht="12.75">
      <c r="A335" s="18"/>
      <c r="B335" s="18"/>
    </row>
    <row r="336" spans="1:2" ht="12.75">
      <c r="A336" s="18"/>
      <c r="B336" s="18"/>
    </row>
    <row r="337" spans="1:2" ht="12.75">
      <c r="A337" s="18"/>
      <c r="B337" s="18"/>
    </row>
    <row r="338" spans="1:2" ht="12.75">
      <c r="A338" s="18"/>
      <c r="B338" s="18"/>
    </row>
    <row r="339" spans="1:2" ht="12.75">
      <c r="A339" s="18"/>
      <c r="B339" s="18"/>
    </row>
    <row r="340" spans="1:2" ht="12.75">
      <c r="A340" s="18"/>
      <c r="B340" s="18"/>
    </row>
    <row r="341" spans="1:2" ht="12.75">
      <c r="A341" s="18"/>
      <c r="B341" s="18"/>
    </row>
    <row r="342" spans="1:2" ht="12.75">
      <c r="A342" s="18"/>
      <c r="B342" s="18"/>
    </row>
    <row r="343" spans="1:2" ht="12.75">
      <c r="A343" s="18"/>
      <c r="B343" s="18"/>
    </row>
    <row r="344" spans="1:2" ht="12.75">
      <c r="A344" s="18"/>
      <c r="B344" s="18"/>
    </row>
    <row r="345" spans="1:2" ht="12.75">
      <c r="A345" s="18"/>
      <c r="B345" s="18"/>
    </row>
    <row r="346" spans="1:2" ht="12.75">
      <c r="A346" s="18"/>
      <c r="B346" s="18"/>
    </row>
    <row r="347" spans="1:2" ht="12.75">
      <c r="A347" s="18"/>
      <c r="B347" s="18"/>
    </row>
    <row r="348" spans="1:2" ht="12.75">
      <c r="A348" s="18"/>
      <c r="B348" s="18"/>
    </row>
    <row r="349" spans="1:2" ht="12.75">
      <c r="A349" s="18"/>
      <c r="B349" s="18"/>
    </row>
    <row r="350" spans="1:2" ht="12.75">
      <c r="A350" s="18"/>
      <c r="B350" s="18"/>
    </row>
    <row r="351" spans="1:2" ht="12.75">
      <c r="A351" s="18"/>
      <c r="B351" s="18"/>
    </row>
    <row r="352" spans="1:2" ht="12.75">
      <c r="A352" s="18"/>
      <c r="B352" s="18"/>
    </row>
    <row r="353" spans="1:2" ht="12.75">
      <c r="A353" s="18"/>
      <c r="B353" s="18"/>
    </row>
    <row r="354" spans="1:2" ht="12.75">
      <c r="A354" s="18"/>
      <c r="B354" s="18"/>
    </row>
    <row r="355" spans="1:2" ht="12.75">
      <c r="A355" s="18"/>
      <c r="B355" s="18"/>
    </row>
    <row r="356" spans="1:2" ht="12.75">
      <c r="A356" s="18"/>
      <c r="B356" s="18"/>
    </row>
    <row r="357" spans="1:2" ht="12.75">
      <c r="A357" s="18"/>
      <c r="B357" s="18"/>
    </row>
    <row r="358" spans="1:2" ht="12.75">
      <c r="A358" s="18"/>
      <c r="B358" s="18"/>
    </row>
    <row r="359" spans="1:2" ht="12.75">
      <c r="A359" s="18"/>
      <c r="B359" s="18"/>
    </row>
    <row r="360" spans="1:2" ht="12.75">
      <c r="A360" s="18"/>
      <c r="B360" s="18"/>
    </row>
    <row r="361" spans="1:2" ht="12.75">
      <c r="A361" s="18"/>
      <c r="B361" s="18"/>
    </row>
    <row r="362" spans="1:2" ht="12.75">
      <c r="A362" s="18"/>
      <c r="B362" s="18"/>
    </row>
    <row r="363" spans="1:2" ht="12.75">
      <c r="A363" s="18"/>
      <c r="B363" s="18"/>
    </row>
    <row r="364" spans="1:2" ht="12.75">
      <c r="A364" s="18"/>
      <c r="B364" s="18"/>
    </row>
    <row r="365" spans="1:2" ht="12.75">
      <c r="A365" s="18"/>
      <c r="B365" s="18"/>
    </row>
    <row r="366" spans="1:2" ht="12.75">
      <c r="A366" s="18"/>
      <c r="B366" s="18"/>
    </row>
    <row r="367" spans="1:2" ht="12.75">
      <c r="A367" s="18"/>
      <c r="B367" s="18"/>
    </row>
    <row r="368" spans="1:2" ht="12.75">
      <c r="A368" s="18"/>
      <c r="B368" s="18"/>
    </row>
    <row r="369" spans="1:2" ht="12.75">
      <c r="A369" s="18"/>
      <c r="B369" s="18"/>
    </row>
    <row r="370" spans="1:2" ht="12.75">
      <c r="A370" s="18"/>
      <c r="B370" s="18"/>
    </row>
    <row r="371" spans="1:2" ht="12.75">
      <c r="A371" s="18"/>
      <c r="B371" s="18"/>
    </row>
    <row r="372" spans="1:2" ht="12.75">
      <c r="A372" s="18"/>
      <c r="B372" s="18"/>
    </row>
    <row r="373" spans="1:2" ht="12.75">
      <c r="A373" s="18"/>
      <c r="B373" s="18"/>
    </row>
    <row r="374" spans="1:2" ht="12.75">
      <c r="A374" s="18"/>
      <c r="B374" s="18"/>
    </row>
    <row r="375" spans="1:2" ht="12.75">
      <c r="A375" s="18"/>
      <c r="B375" s="18"/>
    </row>
    <row r="376" spans="1:2" ht="12.75">
      <c r="A376" s="18"/>
      <c r="B376" s="18"/>
    </row>
    <row r="377" spans="1:2" ht="12.75">
      <c r="A377" s="18"/>
      <c r="B377" s="18"/>
    </row>
    <row r="378" spans="1:2" ht="12.75">
      <c r="A378" s="18"/>
      <c r="B378" s="18"/>
    </row>
    <row r="379" spans="1:2" ht="12.75">
      <c r="A379" s="18"/>
      <c r="B379" s="18"/>
    </row>
    <row r="380" spans="1:2" ht="12.75">
      <c r="A380" s="18"/>
      <c r="B380" s="18"/>
    </row>
    <row r="381" spans="1:2" ht="12.75">
      <c r="A381" s="18"/>
      <c r="B381" s="18"/>
    </row>
    <row r="382" spans="1:2" ht="12.75">
      <c r="A382" s="18"/>
      <c r="B382" s="18"/>
    </row>
    <row r="383" spans="1:2" ht="12.75">
      <c r="A383" s="18"/>
      <c r="B383" s="18"/>
    </row>
    <row r="384" spans="1:2" ht="12.75">
      <c r="A384" s="18"/>
      <c r="B384" s="18"/>
    </row>
    <row r="385" spans="1:2" ht="12.75">
      <c r="A385" s="18"/>
      <c r="B385" s="18"/>
    </row>
    <row r="386" spans="1:2" ht="12.75">
      <c r="A386" s="18"/>
      <c r="B386" s="18"/>
    </row>
    <row r="387" spans="1:2" ht="12.75">
      <c r="A387" s="18"/>
      <c r="B387" s="18"/>
    </row>
    <row r="388" spans="1:2" ht="12.75">
      <c r="A388" s="18"/>
      <c r="B388" s="18"/>
    </row>
    <row r="389" spans="1:2" ht="12.75">
      <c r="A389" s="18"/>
      <c r="B389" s="18"/>
    </row>
    <row r="390" spans="1:2" ht="12.75">
      <c r="A390" s="18"/>
      <c r="B390" s="18"/>
    </row>
    <row r="391" spans="1:2" ht="12.75">
      <c r="A391" s="18"/>
      <c r="B391" s="18"/>
    </row>
    <row r="392" spans="1:2" ht="12.75">
      <c r="A392" s="18"/>
      <c r="B392" s="18"/>
    </row>
    <row r="393" spans="1:2" ht="12.75">
      <c r="A393" s="18"/>
      <c r="B393" s="18"/>
    </row>
    <row r="394" spans="1:2" ht="12.75">
      <c r="A394" s="18"/>
      <c r="B394" s="18"/>
    </row>
    <row r="395" spans="1:2" ht="12.75">
      <c r="A395" s="18"/>
      <c r="B395" s="18"/>
    </row>
    <row r="396" spans="1:2" ht="12.75">
      <c r="A396" s="18"/>
      <c r="B396" s="18"/>
    </row>
    <row r="397" spans="1:2" ht="12.75">
      <c r="A397" s="18"/>
      <c r="B397" s="18"/>
    </row>
    <row r="398" spans="1:2" ht="12.75">
      <c r="A398" s="18"/>
      <c r="B398" s="18"/>
    </row>
    <row r="399" spans="1:2" ht="12.75">
      <c r="A399" s="18"/>
      <c r="B399" s="18"/>
    </row>
    <row r="400" spans="1:2" ht="12.75">
      <c r="A400" s="18"/>
      <c r="B400" s="18"/>
    </row>
    <row r="401" spans="1:2" ht="12.75">
      <c r="A401" s="18"/>
      <c r="B401" s="18"/>
    </row>
    <row r="402" spans="1:2" ht="12.75">
      <c r="A402" s="18"/>
      <c r="B402" s="18"/>
    </row>
    <row r="403" spans="1:2" ht="12.75">
      <c r="A403" s="18"/>
      <c r="B403" s="18"/>
    </row>
    <row r="404" spans="1:2" ht="12.75">
      <c r="A404" s="18"/>
      <c r="B404" s="18"/>
    </row>
    <row r="405" spans="1:2" ht="12.75">
      <c r="A405" s="18"/>
      <c r="B405" s="18"/>
    </row>
    <row r="406" spans="1:2" ht="12.75">
      <c r="A406" s="18"/>
      <c r="B406" s="18"/>
    </row>
    <row r="407" spans="1:2" ht="12.75">
      <c r="A407" s="18"/>
      <c r="B407" s="18"/>
    </row>
    <row r="408" spans="1:2" ht="12.75">
      <c r="A408" s="18"/>
      <c r="B408" s="18"/>
    </row>
    <row r="409" spans="1:2" ht="12.75">
      <c r="A409" s="18"/>
      <c r="B409" s="18"/>
    </row>
    <row r="410" spans="1:2" ht="12.75">
      <c r="A410" s="18"/>
      <c r="B410" s="18"/>
    </row>
    <row r="411" spans="1:2" ht="12.75">
      <c r="A411" s="18"/>
      <c r="B411" s="18"/>
    </row>
    <row r="412" spans="1:2" ht="12.75">
      <c r="A412" s="18"/>
      <c r="B412" s="18"/>
    </row>
    <row r="413" spans="1:2" ht="12.75">
      <c r="A413" s="18"/>
      <c r="B413" s="18"/>
    </row>
    <row r="414" spans="1:2" ht="12.75">
      <c r="A414" s="18"/>
      <c r="B414" s="18"/>
    </row>
    <row r="415" spans="1:2" ht="12.75">
      <c r="A415" s="18"/>
      <c r="B415" s="18"/>
    </row>
    <row r="416" spans="1:2" ht="12.75">
      <c r="A416" s="18"/>
      <c r="B416" s="18"/>
    </row>
    <row r="417" spans="1:2" ht="12.75">
      <c r="A417" s="18"/>
      <c r="B417" s="18"/>
    </row>
    <row r="418" spans="1:2" ht="12.75">
      <c r="A418" s="18"/>
      <c r="B418" s="18"/>
    </row>
    <row r="419" spans="1:2" ht="12.75">
      <c r="A419" s="18"/>
      <c r="B419" s="18"/>
    </row>
    <row r="420" spans="1:2" ht="12.75">
      <c r="A420" s="18"/>
      <c r="B420" s="18"/>
    </row>
    <row r="421" spans="1:2" ht="12.75">
      <c r="A421" s="18"/>
      <c r="B421" s="18"/>
    </row>
    <row r="422" spans="1:2" ht="12.75">
      <c r="A422" s="18"/>
      <c r="B422" s="18"/>
    </row>
    <row r="423" spans="1:2" ht="12.75">
      <c r="A423" s="18"/>
      <c r="B423" s="18"/>
    </row>
    <row r="424" spans="1:2" ht="12.75">
      <c r="A424" s="18"/>
      <c r="B424" s="18"/>
    </row>
    <row r="425" spans="1:2" ht="12.75">
      <c r="A425" s="18"/>
      <c r="B425" s="18"/>
    </row>
    <row r="426" spans="1:2" ht="12.75">
      <c r="A426" s="18"/>
      <c r="B426" s="18"/>
    </row>
    <row r="427" spans="1:2" ht="12.75">
      <c r="A427" s="18"/>
      <c r="B427" s="18"/>
    </row>
    <row r="428" spans="1:2" ht="12.75">
      <c r="A428" s="18"/>
      <c r="B428" s="18"/>
    </row>
    <row r="429" spans="1:2" ht="12.75">
      <c r="A429" s="18"/>
      <c r="B429" s="18"/>
    </row>
    <row r="430" spans="1:2" ht="12.75">
      <c r="A430" s="18"/>
      <c r="B430" s="18"/>
    </row>
    <row r="431" spans="1:2" ht="12.75">
      <c r="A431" s="18"/>
      <c r="B431" s="18"/>
    </row>
    <row r="432" spans="1:2" ht="12.75">
      <c r="A432" s="18"/>
      <c r="B432" s="18"/>
    </row>
    <row r="433" spans="1:2" ht="12.75">
      <c r="A433" s="18"/>
      <c r="B433" s="18"/>
    </row>
    <row r="434" spans="1:2" ht="12.75">
      <c r="A434" s="18"/>
      <c r="B434" s="18"/>
    </row>
    <row r="435" spans="1:2" ht="12.75">
      <c r="A435" s="18"/>
      <c r="B435" s="18"/>
    </row>
    <row r="436" spans="1:2" ht="12.75">
      <c r="A436" s="18"/>
      <c r="B436" s="18"/>
    </row>
    <row r="437" spans="1:2" ht="12.75">
      <c r="A437" s="18"/>
      <c r="B437" s="18"/>
    </row>
    <row r="438" spans="1:2" ht="12.75">
      <c r="A438" s="18"/>
      <c r="B438" s="18"/>
    </row>
    <row r="439" spans="1:2" ht="12.75">
      <c r="A439" s="18"/>
      <c r="B439" s="18"/>
    </row>
    <row r="440" spans="1:2" ht="12.75">
      <c r="A440" s="18"/>
      <c r="B440" s="18"/>
    </row>
    <row r="441" spans="1:2" ht="12.75">
      <c r="A441" s="18"/>
      <c r="B441" s="18"/>
    </row>
    <row r="442" spans="1:2" ht="12.75">
      <c r="A442" s="18"/>
      <c r="B442" s="18"/>
    </row>
    <row r="443" spans="1:2" ht="12.75">
      <c r="A443" s="18"/>
      <c r="B443" s="18"/>
    </row>
    <row r="444" spans="1:2" ht="12.75">
      <c r="A444" s="18"/>
      <c r="B444" s="18"/>
    </row>
    <row r="445" spans="1:2" ht="12.75">
      <c r="A445" s="18"/>
      <c r="B445" s="18"/>
    </row>
    <row r="446" spans="1:2" ht="12.75">
      <c r="A446" s="18"/>
      <c r="B446" s="18"/>
    </row>
    <row r="447" spans="1:2" ht="12.75">
      <c r="A447" s="18"/>
      <c r="B447" s="18"/>
    </row>
    <row r="448" spans="1:2" ht="12.75">
      <c r="A448" s="18"/>
      <c r="B448" s="18"/>
    </row>
    <row r="449" spans="1:2" ht="12.75">
      <c r="A449" s="18"/>
      <c r="B449" s="18"/>
    </row>
    <row r="450" spans="1:2" ht="12.75">
      <c r="A450" s="18"/>
      <c r="B450" s="18"/>
    </row>
    <row r="451" spans="1:2" ht="12.75">
      <c r="A451" s="18"/>
      <c r="B451" s="18"/>
    </row>
    <row r="452" spans="1:2" ht="12.75">
      <c r="A452" s="18"/>
      <c r="B452" s="18"/>
    </row>
    <row r="453" spans="1:2" ht="12.75">
      <c r="A453" s="18"/>
      <c r="B453" s="18"/>
    </row>
    <row r="454" spans="1:2" ht="12.75">
      <c r="A454" s="18"/>
      <c r="B454" s="18"/>
    </row>
    <row r="455" spans="1:2" ht="12.75">
      <c r="A455" s="18"/>
      <c r="B455" s="18"/>
    </row>
    <row r="456" spans="1:2" ht="12.75">
      <c r="A456" s="18"/>
      <c r="B456" s="18"/>
    </row>
    <row r="457" spans="1:2" ht="12.75">
      <c r="A457" s="18"/>
      <c r="B457" s="18"/>
    </row>
    <row r="458" spans="1:2" ht="12.75">
      <c r="A458" s="18"/>
      <c r="B458" s="18"/>
    </row>
    <row r="459" spans="1:2" ht="12.75">
      <c r="A459" s="18"/>
      <c r="B459" s="18"/>
    </row>
    <row r="460" spans="1:2" ht="12.75">
      <c r="A460" s="18"/>
      <c r="B460" s="18"/>
    </row>
    <row r="461" spans="1:2" ht="12.75">
      <c r="A461" s="18"/>
      <c r="B461" s="18"/>
    </row>
    <row r="462" spans="1:2" ht="12.75">
      <c r="A462" s="18"/>
      <c r="B462" s="18"/>
    </row>
    <row r="463" spans="1:2" ht="12.75">
      <c r="A463" s="18"/>
      <c r="B463" s="18"/>
    </row>
    <row r="464" spans="1:2" ht="12.75">
      <c r="A464" s="18"/>
      <c r="B464" s="18"/>
    </row>
    <row r="465" spans="1:2" ht="12.75">
      <c r="A465" s="18"/>
      <c r="B465" s="18"/>
    </row>
    <row r="466" spans="1:2" ht="12.75">
      <c r="A466" s="18"/>
      <c r="B466" s="18"/>
    </row>
    <row r="467" spans="1:2" ht="12.75">
      <c r="A467" s="18"/>
      <c r="B467" s="18"/>
    </row>
    <row r="468" spans="1:2" ht="12.75">
      <c r="A468" s="18"/>
      <c r="B468" s="18"/>
    </row>
    <row r="469" spans="1:2" ht="12.75">
      <c r="A469" s="18"/>
      <c r="B469" s="18"/>
    </row>
    <row r="470" spans="1:2" ht="12.75">
      <c r="A470" s="18"/>
      <c r="B470" s="18"/>
    </row>
    <row r="471" spans="1:2" ht="12.75">
      <c r="A471" s="18"/>
      <c r="B471" s="18"/>
    </row>
    <row r="472" spans="1:2" ht="12.75">
      <c r="A472" s="18"/>
      <c r="B472" s="18"/>
    </row>
    <row r="473" spans="1:2" ht="12.75">
      <c r="A473" s="18"/>
      <c r="B473" s="18"/>
    </row>
    <row r="474" spans="1:2" ht="12.75">
      <c r="A474" s="18"/>
      <c r="B474" s="18"/>
    </row>
    <row r="475" spans="1:2" ht="12.75">
      <c r="A475" s="18"/>
      <c r="B475" s="18"/>
    </row>
    <row r="476" spans="1:2" ht="12.75">
      <c r="A476" s="18"/>
      <c r="B476" s="18"/>
    </row>
    <row r="477" spans="1:2" ht="12.75">
      <c r="A477" s="18"/>
      <c r="B477" s="18"/>
    </row>
    <row r="478" spans="1:2" ht="12.75">
      <c r="A478" s="18"/>
      <c r="B478" s="18"/>
    </row>
    <row r="479" spans="1:2" ht="12.75">
      <c r="A479" s="18"/>
      <c r="B479" s="18"/>
    </row>
    <row r="480" spans="1:2" ht="12.75">
      <c r="A480" s="18"/>
      <c r="B480" s="18"/>
    </row>
    <row r="481" spans="1:2" ht="12.75">
      <c r="A481" s="18"/>
      <c r="B481" s="18"/>
    </row>
    <row r="482" spans="1:2" ht="12.75">
      <c r="A482" s="18"/>
      <c r="B482" s="18"/>
    </row>
    <row r="483" spans="1:2" ht="12.75">
      <c r="A483" s="18"/>
      <c r="B483" s="18"/>
    </row>
    <row r="484" spans="1:2" ht="12.75">
      <c r="A484" s="18"/>
      <c r="B484" s="18"/>
    </row>
    <row r="485" spans="1:2" ht="12.75">
      <c r="A485" s="18"/>
      <c r="B485" s="18"/>
    </row>
    <row r="486" spans="1:2" ht="12.75">
      <c r="A486" s="18"/>
      <c r="B486" s="18"/>
    </row>
    <row r="487" spans="1:2" ht="12.75">
      <c r="A487" s="18"/>
      <c r="B487" s="18"/>
    </row>
    <row r="488" spans="1:2" ht="12.75">
      <c r="A488" s="18"/>
      <c r="B488" s="18"/>
    </row>
    <row r="489" spans="1:2" ht="12.75">
      <c r="A489" s="18"/>
      <c r="B489" s="18"/>
    </row>
    <row r="490" spans="1:2" ht="12.75">
      <c r="A490" s="18"/>
      <c r="B490" s="18"/>
    </row>
    <row r="491" spans="1:2" ht="12.75">
      <c r="A491" s="18"/>
      <c r="B491" s="18"/>
    </row>
    <row r="492" spans="1:2" ht="12.75">
      <c r="A492" s="18"/>
      <c r="B492" s="18"/>
    </row>
    <row r="493" spans="1:2" ht="12.75">
      <c r="A493" s="18"/>
      <c r="B493" s="18"/>
    </row>
    <row r="494" spans="1:2" ht="12.75">
      <c r="A494" s="18"/>
      <c r="B494" s="18"/>
    </row>
    <row r="495" spans="1:2" ht="12.75">
      <c r="A495" s="18"/>
      <c r="B495" s="18"/>
    </row>
    <row r="496" spans="1:2" ht="12.75">
      <c r="A496" s="18"/>
      <c r="B496" s="18"/>
    </row>
    <row r="497" spans="1:2" ht="12.75">
      <c r="A497" s="18"/>
      <c r="B497" s="18"/>
    </row>
    <row r="498" spans="1:2" ht="12.75">
      <c r="A498" s="18"/>
      <c r="B498" s="18"/>
    </row>
    <row r="499" spans="1:2" ht="12.75">
      <c r="A499" s="18"/>
      <c r="B499" s="18"/>
    </row>
    <row r="500" spans="1:2" ht="12.75">
      <c r="A500" s="18"/>
      <c r="B500" s="18"/>
    </row>
    <row r="501" spans="1:2" ht="12.75">
      <c r="A501" s="18"/>
      <c r="B501" s="18"/>
    </row>
    <row r="502" spans="1:2" ht="12.75">
      <c r="A502" s="18"/>
      <c r="B502" s="18"/>
    </row>
    <row r="503" spans="1:2" ht="12.75">
      <c r="A503" s="18"/>
      <c r="B503" s="18"/>
    </row>
    <row r="504" spans="1:2" ht="12.75">
      <c r="A504" s="18"/>
      <c r="B504" s="18"/>
    </row>
    <row r="505" spans="1:2" ht="12.75">
      <c r="A505" s="18"/>
      <c r="B505" s="18"/>
    </row>
    <row r="506" spans="1:2" ht="12.75">
      <c r="A506" s="18"/>
      <c r="B506" s="18"/>
    </row>
    <row r="507" spans="1:2" ht="12.75">
      <c r="A507" s="18"/>
      <c r="B507" s="18"/>
    </row>
    <row r="508" spans="1:2" ht="12.75">
      <c r="A508" s="18"/>
      <c r="B508" s="18"/>
    </row>
    <row r="509" spans="1:2" ht="12.75">
      <c r="A509" s="18"/>
      <c r="B509" s="18"/>
    </row>
    <row r="510" spans="1:2" ht="12.75">
      <c r="A510" s="18"/>
      <c r="B510" s="18"/>
    </row>
    <row r="511" spans="1:2" ht="12.75">
      <c r="A511" s="18"/>
      <c r="B511" s="18"/>
    </row>
    <row r="512" spans="1:2" ht="12.75">
      <c r="A512" s="18"/>
      <c r="B512" s="18"/>
    </row>
    <row r="513" spans="1:2" ht="12.75">
      <c r="A513" s="18"/>
      <c r="B513" s="18"/>
    </row>
    <row r="514" spans="1:2" ht="12.75">
      <c r="A514" s="18"/>
      <c r="B514" s="18"/>
    </row>
    <row r="515" spans="1:2" ht="12.75">
      <c r="A515" s="18"/>
      <c r="B515" s="18"/>
    </row>
    <row r="516" spans="1:2" ht="12.75">
      <c r="A516" s="18"/>
      <c r="B516" s="18"/>
    </row>
    <row r="517" spans="1:2" ht="12.75">
      <c r="A517" s="18"/>
      <c r="B517" s="18"/>
    </row>
    <row r="518" spans="1:2" ht="12.75">
      <c r="A518" s="18"/>
      <c r="B518" s="18"/>
    </row>
    <row r="519" spans="1:2" ht="12.75">
      <c r="A519" s="18"/>
      <c r="B519" s="18"/>
    </row>
    <row r="520" spans="1:2" ht="12.75">
      <c r="A520" s="18"/>
      <c r="B520" s="18"/>
    </row>
    <row r="521" spans="1:2" ht="12.75">
      <c r="A521" s="18"/>
      <c r="B521" s="18"/>
    </row>
    <row r="522" spans="1:2" ht="12.75">
      <c r="A522" s="18"/>
      <c r="B522" s="18"/>
    </row>
    <row r="523" spans="1:2" ht="12.75">
      <c r="A523" s="18"/>
      <c r="B523" s="18"/>
    </row>
    <row r="524" spans="1:2" ht="12.75">
      <c r="A524" s="18"/>
      <c r="B524" s="18"/>
    </row>
    <row r="525" spans="1:2" ht="12.75">
      <c r="A525" s="18"/>
      <c r="B525" s="18"/>
    </row>
    <row r="526" spans="1:2" ht="12.75">
      <c r="A526" s="18"/>
      <c r="B526" s="18"/>
    </row>
    <row r="527" spans="1:2" ht="12.75">
      <c r="A527" s="18"/>
      <c r="B527" s="18"/>
    </row>
    <row r="528" spans="1:2" ht="12.75">
      <c r="A528" s="18"/>
      <c r="B528" s="18"/>
    </row>
    <row r="529" spans="1:2" ht="12.75">
      <c r="A529" s="18"/>
      <c r="B529" s="18"/>
    </row>
    <row r="530" spans="1:2" ht="12.75">
      <c r="A530" s="18"/>
      <c r="B530" s="18"/>
    </row>
    <row r="531" spans="1:2" ht="12.75">
      <c r="A531" s="18"/>
      <c r="B531" s="18"/>
    </row>
    <row r="532" spans="1:2" ht="12.75">
      <c r="A532" s="18"/>
      <c r="B532" s="18"/>
    </row>
    <row r="533" spans="1:2" ht="12.75">
      <c r="A533" s="18"/>
      <c r="B533" s="18"/>
    </row>
    <row r="534" spans="1:2" ht="12.75">
      <c r="A534" s="18"/>
      <c r="B534" s="18"/>
    </row>
    <row r="535" spans="1:2" ht="12.75">
      <c r="A535" s="18"/>
      <c r="B535" s="18"/>
    </row>
    <row r="536" spans="1:2" ht="12.75">
      <c r="A536" s="18"/>
      <c r="B536" s="18"/>
    </row>
    <row r="537" spans="1:2" ht="12.75">
      <c r="A537" s="18"/>
      <c r="B537" s="18"/>
    </row>
    <row r="538" spans="1:2" ht="12.75">
      <c r="A538" s="18"/>
      <c r="B538" s="18"/>
    </row>
    <row r="539" spans="1:2" ht="12.75">
      <c r="A539" s="18"/>
      <c r="B539" s="18"/>
    </row>
    <row r="540" spans="1:2" ht="12.75">
      <c r="A540" s="18"/>
      <c r="B540" s="18"/>
    </row>
    <row r="541" spans="1:2" ht="12.75">
      <c r="A541" s="18"/>
      <c r="B541" s="18"/>
    </row>
    <row r="542" spans="1:2" ht="12.75">
      <c r="A542" s="18"/>
      <c r="B542" s="18"/>
    </row>
    <row r="543" spans="1:2" ht="12.75">
      <c r="A543" s="18"/>
      <c r="B543" s="18"/>
    </row>
    <row r="544" spans="1:2" ht="12.75">
      <c r="A544" s="18"/>
      <c r="B544" s="18"/>
    </row>
    <row r="545" spans="1:2" ht="12.75">
      <c r="A545" s="18"/>
      <c r="B545" s="18"/>
    </row>
    <row r="546" spans="1:2" ht="12.75">
      <c r="A546" s="18"/>
      <c r="B546" s="18"/>
    </row>
    <row r="547" spans="1:2" ht="12.75">
      <c r="A547" s="18"/>
      <c r="B547" s="18"/>
    </row>
    <row r="548" spans="1:2" ht="12.75">
      <c r="A548" s="18"/>
      <c r="B548" s="18"/>
    </row>
    <row r="549" spans="1:2" ht="12.75">
      <c r="A549" s="18"/>
      <c r="B549" s="18"/>
    </row>
    <row r="550" spans="1:2" ht="12.75">
      <c r="A550" s="18"/>
      <c r="B550" s="18"/>
    </row>
    <row r="551" spans="1:2" ht="12.75">
      <c r="A551" s="18"/>
      <c r="B551" s="18"/>
    </row>
    <row r="552" spans="1:2" ht="12.75">
      <c r="A552" s="18"/>
      <c r="B552" s="18"/>
    </row>
    <row r="553" spans="1:2" ht="12.75">
      <c r="A553" s="18"/>
      <c r="B553" s="18"/>
    </row>
    <row r="554" spans="1:2" ht="12.75">
      <c r="A554" s="18"/>
      <c r="B554" s="18"/>
    </row>
    <row r="555" spans="1:2" ht="12.75">
      <c r="A555" s="18"/>
      <c r="B555" s="18"/>
    </row>
    <row r="556" spans="1:2" ht="12.75">
      <c r="A556" s="18"/>
      <c r="B556" s="18"/>
    </row>
    <row r="557" spans="1:2" ht="12.75">
      <c r="A557" s="18"/>
      <c r="B557" s="18"/>
    </row>
    <row r="558" spans="1:2" ht="12.75">
      <c r="A558" s="18"/>
      <c r="B558" s="18"/>
    </row>
    <row r="559" spans="1:2" ht="12.75">
      <c r="A559" s="18"/>
      <c r="B559" s="18"/>
    </row>
    <row r="560" spans="1:2" ht="12.75">
      <c r="A560" s="18"/>
      <c r="B560" s="18"/>
    </row>
    <row r="561" spans="1:2" ht="12.75">
      <c r="A561" s="18"/>
      <c r="B561" s="18"/>
    </row>
    <row r="562" spans="1:2" ht="12.75">
      <c r="A562" s="18"/>
      <c r="B562" s="18"/>
    </row>
    <row r="563" spans="1:2" ht="12.75">
      <c r="A563" s="18"/>
      <c r="B563" s="18"/>
    </row>
    <row r="564" spans="1:2" ht="12.75">
      <c r="A564" s="18"/>
      <c r="B564" s="18"/>
    </row>
    <row r="565" spans="1:2" ht="12.75">
      <c r="A565" s="18"/>
      <c r="B565" s="18"/>
    </row>
    <row r="566" spans="1:2" ht="12.75">
      <c r="A566" s="18"/>
      <c r="B566" s="18"/>
    </row>
    <row r="567" spans="1:2" ht="12.75">
      <c r="A567" s="18"/>
      <c r="B567" s="18"/>
    </row>
    <row r="568" spans="1:2" ht="12.75">
      <c r="A568" s="18"/>
      <c r="B568" s="18"/>
    </row>
    <row r="569" spans="1:2" ht="12.75">
      <c r="A569" s="18"/>
      <c r="B569" s="18"/>
    </row>
    <row r="570" spans="1:2" ht="12.75">
      <c r="A570" s="18"/>
      <c r="B570" s="18"/>
    </row>
    <row r="571" spans="1:2" ht="12.75">
      <c r="A571" s="18"/>
      <c r="B571" s="18"/>
    </row>
    <row r="572" spans="1:2" ht="12.75">
      <c r="A572" s="18"/>
      <c r="B572" s="18"/>
    </row>
    <row r="573" spans="1:2" ht="12.75">
      <c r="A573" s="18"/>
      <c r="B573" s="18"/>
    </row>
    <row r="574" spans="1:2" ht="12.75">
      <c r="A574" s="18"/>
      <c r="B574" s="18"/>
    </row>
    <row r="575" spans="1:2" ht="12.75">
      <c r="A575" s="18"/>
      <c r="B575" s="18"/>
    </row>
    <row r="576" spans="1:2" ht="12.75">
      <c r="A576" s="18"/>
      <c r="B576" s="18"/>
    </row>
    <row r="577" spans="1:2" ht="12.75">
      <c r="A577" s="18"/>
      <c r="B577" s="18"/>
    </row>
    <row r="578" spans="1:2" ht="12.75">
      <c r="A578" s="18"/>
      <c r="B578" s="18"/>
    </row>
    <row r="579" spans="1:2" ht="12.75">
      <c r="A579" s="18"/>
      <c r="B579" s="18"/>
    </row>
    <row r="580" spans="1:2" ht="12.75">
      <c r="A580" s="18"/>
      <c r="B580" s="18"/>
    </row>
    <row r="581" spans="1:2" ht="12.75">
      <c r="A581" s="18"/>
      <c r="B581" s="18"/>
    </row>
    <row r="582" spans="1:2" ht="12.75">
      <c r="A582" s="18"/>
      <c r="B582" s="18"/>
    </row>
    <row r="583" spans="1:2" ht="12.75">
      <c r="A583" s="18"/>
      <c r="B583" s="18"/>
    </row>
    <row r="584" spans="1:2" ht="12.75">
      <c r="A584" s="18"/>
      <c r="B584" s="18"/>
    </row>
    <row r="585" spans="1:2" ht="12.75">
      <c r="A585" s="18"/>
      <c r="B585" s="18"/>
    </row>
    <row r="586" spans="1:2" ht="12.75">
      <c r="A586" s="18"/>
      <c r="B586" s="18"/>
    </row>
    <row r="587" spans="1:2" ht="12.75">
      <c r="A587" s="18"/>
      <c r="B587" s="18"/>
    </row>
    <row r="588" spans="1:2" ht="12.75">
      <c r="A588" s="18"/>
      <c r="B588" s="18"/>
    </row>
    <row r="589" spans="1:2" ht="12.75">
      <c r="A589" s="18"/>
      <c r="B589" s="18"/>
    </row>
    <row r="590" spans="1:2" ht="12.75">
      <c r="A590" s="18"/>
      <c r="B590" s="18"/>
    </row>
    <row r="591" spans="1:2" ht="12.75">
      <c r="A591" s="18"/>
      <c r="B591" s="18"/>
    </row>
    <row r="592" spans="1:2" ht="12.75">
      <c r="A592" s="18"/>
      <c r="B592" s="18"/>
    </row>
    <row r="593" spans="1:2" ht="12.75">
      <c r="A593" s="18"/>
      <c r="B593" s="18"/>
    </row>
    <row r="594" spans="1:2" ht="12.75">
      <c r="A594" s="18"/>
      <c r="B594" s="18"/>
    </row>
    <row r="595" spans="1:2" ht="12.75">
      <c r="A595" s="18"/>
      <c r="B595" s="18"/>
    </row>
    <row r="596" spans="1:2" ht="12.75">
      <c r="A596" s="18"/>
      <c r="B596" s="18"/>
    </row>
    <row r="597" spans="1:2" ht="12.75">
      <c r="A597" s="18"/>
      <c r="B597" s="18"/>
    </row>
    <row r="598" spans="1:2" ht="12.75">
      <c r="A598" s="18"/>
      <c r="B598" s="18"/>
    </row>
    <row r="599" spans="1:2" ht="12.75">
      <c r="A599" s="18"/>
      <c r="B599" s="18"/>
    </row>
    <row r="600" spans="1:2" ht="12.75">
      <c r="A600" s="18"/>
      <c r="B600" s="18"/>
    </row>
    <row r="601" spans="1:2" ht="12.75">
      <c r="A601" s="18"/>
      <c r="B601" s="18"/>
    </row>
    <row r="602" spans="1:2" ht="12.75">
      <c r="A602" s="18"/>
      <c r="B602" s="18"/>
    </row>
    <row r="603" spans="1:2" ht="12.75">
      <c r="A603" s="18"/>
      <c r="B603" s="18"/>
    </row>
    <row r="604" spans="1:2" ht="12.75">
      <c r="A604" s="18"/>
      <c r="B604" s="18"/>
    </row>
    <row r="605" spans="1:2" ht="12.75">
      <c r="A605" s="18"/>
      <c r="B605" s="18"/>
    </row>
    <row r="606" spans="1:2" ht="12.75">
      <c r="A606" s="18"/>
      <c r="B606" s="18"/>
    </row>
    <row r="607" spans="1:2" ht="12.75">
      <c r="A607" s="18"/>
      <c r="B607" s="18"/>
    </row>
    <row r="608" spans="1:2" ht="12.75">
      <c r="A608" s="18"/>
      <c r="B608" s="18"/>
    </row>
    <row r="609" spans="1:2" ht="12.75">
      <c r="A609" s="18"/>
      <c r="B609" s="18"/>
    </row>
    <row r="610" spans="1:2" ht="12.75">
      <c r="A610" s="18"/>
      <c r="B610" s="18"/>
    </row>
    <row r="611" spans="1:2" ht="12.75">
      <c r="A611" s="18"/>
      <c r="B611" s="18"/>
    </row>
    <row r="612" spans="1:2" ht="12.75">
      <c r="A612" s="18"/>
      <c r="B612" s="18"/>
    </row>
    <row r="613" spans="1:2" ht="12.75">
      <c r="A613" s="18"/>
      <c r="B613" s="18"/>
    </row>
    <row r="614" spans="1:2" ht="12.75">
      <c r="A614" s="18"/>
      <c r="B614" s="18"/>
    </row>
    <row r="615" spans="1:2" ht="12.75">
      <c r="A615" s="18"/>
      <c r="B615" s="18"/>
    </row>
    <row r="616" spans="1:2" ht="12.75">
      <c r="A616" s="18"/>
      <c r="B616" s="18"/>
    </row>
    <row r="617" spans="1:2" ht="12.75">
      <c r="A617" s="18"/>
      <c r="B617" s="18"/>
    </row>
    <row r="618" spans="1:2" ht="12.75">
      <c r="A618" s="18"/>
      <c r="B618" s="18"/>
    </row>
    <row r="619" spans="1:2" ht="12.75">
      <c r="A619" s="18"/>
      <c r="B619" s="18"/>
    </row>
    <row r="620" spans="1:2" ht="12.75">
      <c r="A620" s="18"/>
      <c r="B620" s="18"/>
    </row>
    <row r="621" spans="1:2" ht="12.75">
      <c r="A621" s="18"/>
      <c r="B621" s="18"/>
    </row>
    <row r="622" spans="1:2" ht="12.75">
      <c r="A622" s="18"/>
      <c r="B622" s="18"/>
    </row>
    <row r="623" spans="1:2" ht="12.75">
      <c r="A623" s="18"/>
      <c r="B623" s="18"/>
    </row>
    <row r="624" spans="1:2" ht="12.75">
      <c r="A624" s="18"/>
      <c r="B624" s="18"/>
    </row>
    <row r="625" spans="1:2" ht="12.75">
      <c r="A625" s="18"/>
      <c r="B625" s="18"/>
    </row>
    <row r="626" spans="1:2" ht="12.75">
      <c r="A626" s="18"/>
      <c r="B626" s="18"/>
    </row>
    <row r="627" spans="1:2" ht="12.75">
      <c r="A627" s="18"/>
      <c r="B627" s="18"/>
    </row>
    <row r="628" spans="1:2" ht="12.75">
      <c r="A628" s="18"/>
      <c r="B628" s="18"/>
    </row>
    <row r="629" spans="1:2" ht="12.75">
      <c r="A629" s="18"/>
      <c r="B629" s="18"/>
    </row>
    <row r="630" spans="1:2" ht="12.75">
      <c r="A630" s="18"/>
      <c r="B630" s="18"/>
    </row>
    <row r="631" spans="1:2" ht="12.75">
      <c r="A631" s="18"/>
      <c r="B631" s="18"/>
    </row>
    <row r="632" spans="1:2" ht="12.75">
      <c r="A632" s="18"/>
      <c r="B632" s="18"/>
    </row>
    <row r="633" spans="1:2" ht="12.75">
      <c r="A633" s="18"/>
      <c r="B633" s="18"/>
    </row>
    <row r="634" spans="1:2" ht="12.75">
      <c r="A634" s="18"/>
      <c r="B634" s="18"/>
    </row>
    <row r="635" spans="1:2" ht="12.75">
      <c r="A635" s="18"/>
      <c r="B635" s="18"/>
    </row>
    <row r="636" spans="1:2" ht="12.75">
      <c r="A636" s="18"/>
      <c r="B636" s="18"/>
    </row>
    <row r="637" spans="1:2" ht="12.75">
      <c r="A637" s="18"/>
      <c r="B637" s="18"/>
    </row>
    <row r="638" spans="1:2" ht="12.75">
      <c r="A638" s="18"/>
      <c r="B638" s="18"/>
    </row>
    <row r="639" spans="1:2" ht="12.75">
      <c r="A639" s="18"/>
      <c r="B639" s="18"/>
    </row>
    <row r="640" spans="1:2" ht="12.75">
      <c r="A640" s="18"/>
      <c r="B640" s="18"/>
    </row>
    <row r="641" spans="1:2" ht="12.75">
      <c r="A641" s="18"/>
      <c r="B641" s="18"/>
    </row>
    <row r="642" spans="1:2" ht="12.75">
      <c r="A642" s="18"/>
      <c r="B642" s="18"/>
    </row>
    <row r="643" spans="1:2" ht="12.75">
      <c r="A643" s="18"/>
      <c r="B643" s="18"/>
    </row>
    <row r="644" spans="1:2" ht="12.75">
      <c r="A644" s="18"/>
      <c r="B644" s="18"/>
    </row>
    <row r="645" spans="1:2" ht="12.75">
      <c r="A645" s="18"/>
      <c r="B645" s="18"/>
    </row>
    <row r="646" spans="1:2" ht="12.75">
      <c r="A646" s="18"/>
      <c r="B646" s="18"/>
    </row>
    <row r="647" spans="1:2" ht="12.75">
      <c r="A647" s="18"/>
      <c r="B647" s="18"/>
    </row>
    <row r="648" spans="1:2" ht="12.75">
      <c r="A648" s="18"/>
      <c r="B648" s="18"/>
    </row>
    <row r="649" spans="1:2" ht="12.75">
      <c r="A649" s="18"/>
      <c r="B649" s="18"/>
    </row>
    <row r="650" spans="1:2" ht="12.75">
      <c r="A650" s="18"/>
      <c r="B650" s="18"/>
    </row>
    <row r="651" spans="1:2" ht="12.75">
      <c r="A651" s="18"/>
      <c r="B651" s="18"/>
    </row>
    <row r="652" spans="1:2" ht="12.75">
      <c r="A652" s="18"/>
      <c r="B652" s="18"/>
    </row>
    <row r="653" spans="1:2" ht="12.75">
      <c r="A653" s="18"/>
      <c r="B653" s="18"/>
    </row>
    <row r="654" spans="1:2" ht="12.75">
      <c r="A654" s="18"/>
      <c r="B654" s="18"/>
    </row>
    <row r="655" spans="1:2" ht="12.75">
      <c r="A655" s="18"/>
      <c r="B655" s="18"/>
    </row>
    <row r="656" spans="1:2" ht="12.75">
      <c r="A656" s="18"/>
      <c r="B656" s="18"/>
    </row>
    <row r="657" spans="1:2" ht="12.75">
      <c r="A657" s="18"/>
      <c r="B657" s="18"/>
    </row>
    <row r="658" spans="1:2" ht="12.75">
      <c r="A658" s="18"/>
      <c r="B658" s="18"/>
    </row>
    <row r="659" spans="1:2" ht="12.75">
      <c r="A659" s="18"/>
      <c r="B659" s="18"/>
    </row>
    <row r="660" spans="1:2" ht="12.75">
      <c r="A660" s="18"/>
      <c r="B660" s="18"/>
    </row>
    <row r="661" spans="1:2" ht="12.75">
      <c r="A661" s="18"/>
      <c r="B661" s="18"/>
    </row>
    <row r="662" spans="1:2" ht="12.75">
      <c r="A662" s="18"/>
      <c r="B662" s="18"/>
    </row>
    <row r="663" spans="1:2" ht="12.75">
      <c r="A663" s="18"/>
      <c r="B663" s="18"/>
    </row>
    <row r="664" spans="1:2" ht="12.75">
      <c r="A664" s="18"/>
      <c r="B664" s="18"/>
    </row>
    <row r="665" spans="1:2" ht="12.75">
      <c r="A665" s="18"/>
      <c r="B665" s="18"/>
    </row>
    <row r="666" spans="1:2" ht="12.75">
      <c r="A666" s="18"/>
      <c r="B666" s="18"/>
    </row>
    <row r="667" spans="1:2" ht="12.75">
      <c r="A667" s="18"/>
      <c r="B667" s="18"/>
    </row>
    <row r="668" spans="1:2" ht="12.75">
      <c r="A668" s="18"/>
      <c r="B668" s="18"/>
    </row>
    <row r="669" spans="1:2" ht="12.75">
      <c r="A669" s="18"/>
      <c r="B669" s="18"/>
    </row>
    <row r="670" spans="1:2" ht="12.75">
      <c r="A670" s="18"/>
      <c r="B670" s="18"/>
    </row>
    <row r="671" spans="1:2" ht="12.75">
      <c r="A671" s="18"/>
      <c r="B671" s="18"/>
    </row>
    <row r="672" spans="1:2" ht="12.75">
      <c r="A672" s="18"/>
      <c r="B672" s="18"/>
    </row>
    <row r="673" spans="1:2" ht="12.75">
      <c r="A673" s="18"/>
      <c r="B673" s="18"/>
    </row>
    <row r="674" spans="1:2" ht="12.75">
      <c r="A674" s="18"/>
      <c r="B674" s="18"/>
    </row>
    <row r="675" spans="1:2" ht="12.75">
      <c r="A675" s="18"/>
      <c r="B675" s="18"/>
    </row>
    <row r="676" spans="1:2" ht="12.75">
      <c r="A676" s="18"/>
      <c r="B676" s="18"/>
    </row>
    <row r="677" spans="1:2" ht="12.75">
      <c r="A677" s="18"/>
      <c r="B677" s="18"/>
    </row>
    <row r="678" spans="1:2" ht="12.75">
      <c r="A678" s="18"/>
      <c r="B678" s="18"/>
    </row>
    <row r="679" spans="1:2" ht="12.75">
      <c r="A679" s="18"/>
      <c r="B679" s="18"/>
    </row>
    <row r="680" spans="1:2" ht="12.75">
      <c r="A680" s="18"/>
      <c r="B680" s="18"/>
    </row>
    <row r="681" spans="1:2" ht="12.75">
      <c r="A681" s="18"/>
      <c r="B681" s="18"/>
    </row>
    <row r="682" spans="1:2" ht="12.75">
      <c r="A682" s="18"/>
      <c r="B682" s="18"/>
    </row>
    <row r="683" spans="1:2" ht="12.75">
      <c r="A683" s="18"/>
      <c r="B683" s="18"/>
    </row>
    <row r="684" spans="1:2" ht="12.75">
      <c r="A684" s="18"/>
      <c r="B684" s="18"/>
    </row>
    <row r="685" spans="1:2" ht="12.75">
      <c r="A685" s="18"/>
      <c r="B685" s="18"/>
    </row>
    <row r="686" spans="1:2" ht="12.75">
      <c r="A686" s="18"/>
      <c r="B686" s="18"/>
    </row>
    <row r="687" spans="1:2" ht="12.75">
      <c r="A687" s="18"/>
      <c r="B687" s="18"/>
    </row>
    <row r="688" spans="1:2" ht="12.75">
      <c r="A688" s="18"/>
      <c r="B688" s="18"/>
    </row>
    <row r="689" spans="1:2" ht="12.75">
      <c r="A689" s="18"/>
      <c r="B689" s="18"/>
    </row>
    <row r="690" spans="1:2" ht="12.75">
      <c r="A690" s="18"/>
      <c r="B690" s="18"/>
    </row>
    <row r="691" spans="1:2" ht="12.75">
      <c r="A691" s="18"/>
      <c r="B691" s="18"/>
    </row>
    <row r="692" spans="1:2" ht="12.75">
      <c r="A692" s="18"/>
      <c r="B692" s="18"/>
    </row>
    <row r="693" spans="1:2" ht="12.75">
      <c r="A693" s="18"/>
      <c r="B693" s="18"/>
    </row>
    <row r="694" spans="1:2" ht="12.75">
      <c r="A694" s="18"/>
      <c r="B694" s="18"/>
    </row>
    <row r="695" spans="1:2" ht="12.75">
      <c r="A695" s="18"/>
      <c r="B695" s="18"/>
    </row>
    <row r="696" spans="1:2" ht="12.75">
      <c r="A696" s="18"/>
      <c r="B696" s="18"/>
    </row>
    <row r="697" spans="1:2" ht="12.75">
      <c r="A697" s="18"/>
      <c r="B697" s="18"/>
    </row>
    <row r="698" spans="1:2" ht="12.75">
      <c r="A698" s="18"/>
      <c r="B698" s="18"/>
    </row>
    <row r="699" spans="1:2" ht="12.75">
      <c r="A699" s="18"/>
      <c r="B699" s="18"/>
    </row>
    <row r="700" spans="1:2" ht="12.75">
      <c r="A700" s="18"/>
      <c r="B700" s="18"/>
    </row>
    <row r="701" spans="1:2" ht="12.75">
      <c r="A701" s="18"/>
      <c r="B701" s="18"/>
    </row>
    <row r="702" spans="1:2" ht="12.75">
      <c r="A702" s="18"/>
      <c r="B702" s="18"/>
    </row>
    <row r="703" spans="1:2" ht="12.75">
      <c r="A703" s="18"/>
      <c r="B703" s="18"/>
    </row>
    <row r="704" spans="1:2" ht="12.75">
      <c r="A704" s="18"/>
      <c r="B704" s="18"/>
    </row>
    <row r="705" spans="1:2" ht="12.75">
      <c r="A705" s="18"/>
      <c r="B705" s="18"/>
    </row>
    <row r="706" spans="1:2" ht="12.75">
      <c r="A706" s="18"/>
      <c r="B706" s="18"/>
    </row>
    <row r="707" spans="1:2" ht="12.75">
      <c r="A707" s="18"/>
      <c r="B707" s="18"/>
    </row>
    <row r="708" spans="1:2" ht="12.75">
      <c r="A708" s="18"/>
      <c r="B708" s="18"/>
    </row>
    <row r="709" spans="1:2" ht="12.75">
      <c r="A709" s="18"/>
      <c r="B709" s="18"/>
    </row>
    <row r="710" spans="1:2" ht="12.75">
      <c r="A710" s="18"/>
      <c r="B710" s="18"/>
    </row>
    <row r="711" spans="1:2" ht="12.75">
      <c r="A711" s="18"/>
      <c r="B711" s="18"/>
    </row>
    <row r="712" spans="1:2" ht="12.75">
      <c r="A712" s="18"/>
      <c r="B712" s="18"/>
    </row>
    <row r="713" spans="1:2" ht="12.75">
      <c r="A713" s="18"/>
      <c r="B713" s="18"/>
    </row>
    <row r="714" spans="1:2" ht="12.75">
      <c r="A714" s="18"/>
      <c r="B714" s="18"/>
    </row>
    <row r="715" spans="1:2" ht="12.75">
      <c r="A715" s="18"/>
      <c r="B715" s="18"/>
    </row>
    <row r="716" spans="1:2" ht="12.75">
      <c r="A716" s="18"/>
      <c r="B716" s="18"/>
    </row>
    <row r="717" spans="1:2" ht="12.75">
      <c r="A717" s="18"/>
      <c r="B717" s="18"/>
    </row>
    <row r="718" spans="1:2" ht="12.75">
      <c r="A718" s="18"/>
      <c r="B718" s="18"/>
    </row>
    <row r="719" spans="1:2" ht="12.75">
      <c r="A719" s="18"/>
      <c r="B719" s="18"/>
    </row>
    <row r="720" spans="1:2" ht="12.75">
      <c r="A720" s="18"/>
      <c r="B720" s="18"/>
    </row>
    <row r="721" spans="1:2" ht="12.75">
      <c r="A721" s="18"/>
      <c r="B721" s="18"/>
    </row>
    <row r="722" spans="1:2" ht="12.75">
      <c r="A722" s="18"/>
      <c r="B722" s="18"/>
    </row>
    <row r="723" spans="1:2" ht="12.75">
      <c r="A723" s="18"/>
      <c r="B723" s="18"/>
    </row>
    <row r="724" spans="1:2" ht="12.75">
      <c r="A724" s="18"/>
      <c r="B724" s="18"/>
    </row>
    <row r="725" spans="1:2" ht="12.75">
      <c r="A725" s="18"/>
      <c r="B725" s="18"/>
    </row>
    <row r="726" spans="1:2" ht="12.75">
      <c r="A726" s="18"/>
      <c r="B726" s="18"/>
    </row>
    <row r="727" spans="1:2" ht="12.75">
      <c r="A727" s="18"/>
      <c r="B727" s="18"/>
    </row>
    <row r="728" spans="1:2" ht="12.75">
      <c r="A728" s="18"/>
      <c r="B728" s="18"/>
    </row>
    <row r="729" spans="1:2" ht="12.75">
      <c r="A729" s="18"/>
      <c r="B729" s="18"/>
    </row>
    <row r="730" spans="1:2" ht="12.75">
      <c r="A730" s="18"/>
      <c r="B730" s="18"/>
    </row>
    <row r="731" spans="1:2" ht="12.75">
      <c r="A731" s="18"/>
      <c r="B731" s="18"/>
    </row>
    <row r="732" spans="1:2" ht="12.75">
      <c r="A732" s="18"/>
      <c r="B732" s="18"/>
    </row>
    <row r="733" spans="1:2" ht="12.75">
      <c r="A733" s="18"/>
      <c r="B733" s="18"/>
    </row>
    <row r="734" spans="1:2" ht="12.75">
      <c r="A734" s="18"/>
      <c r="B734" s="18"/>
    </row>
    <row r="735" spans="1:2" ht="12.75">
      <c r="A735" s="18"/>
      <c r="B735" s="18"/>
    </row>
    <row r="736" spans="1:2" ht="12.75">
      <c r="A736" s="18"/>
      <c r="B736" s="18"/>
    </row>
    <row r="737" spans="1:2" ht="12.75">
      <c r="A737" s="18"/>
      <c r="B737" s="18"/>
    </row>
    <row r="738" spans="1:2" ht="12.75">
      <c r="A738" s="18"/>
      <c r="B738" s="18"/>
    </row>
    <row r="739" spans="1:2" ht="12.75">
      <c r="A739" s="18"/>
      <c r="B739" s="18"/>
    </row>
    <row r="740" spans="1:2" ht="12.75">
      <c r="A740" s="18"/>
      <c r="B740" s="18"/>
    </row>
    <row r="741" spans="1:2" ht="12.75">
      <c r="A741" s="18"/>
      <c r="B741" s="18"/>
    </row>
    <row r="742" spans="1:2" ht="12.75">
      <c r="A742" s="18"/>
      <c r="B742" s="18"/>
    </row>
    <row r="743" spans="1:2" ht="12.75">
      <c r="A743" s="18"/>
      <c r="B743" s="18"/>
    </row>
    <row r="744" spans="1:2" ht="12.75">
      <c r="A744" s="18"/>
      <c r="B744" s="18"/>
    </row>
    <row r="745" spans="1:2" ht="12.75">
      <c r="A745" s="18"/>
      <c r="B745" s="18"/>
    </row>
    <row r="746" spans="1:2" ht="12.75">
      <c r="A746" s="18"/>
      <c r="B746" s="18"/>
    </row>
    <row r="747" spans="1:2" ht="12.75">
      <c r="A747" s="18"/>
      <c r="B747" s="18"/>
    </row>
    <row r="748" spans="1:2" ht="12.75">
      <c r="A748" s="18"/>
      <c r="B748" s="18"/>
    </row>
    <row r="749" spans="1:2" ht="12.75">
      <c r="A749" s="18"/>
      <c r="B749" s="18"/>
    </row>
    <row r="750" spans="1:2" ht="12.75">
      <c r="A750" s="18"/>
      <c r="B750" s="18"/>
    </row>
    <row r="751" spans="1:2" ht="12.75">
      <c r="A751" s="18"/>
      <c r="B751" s="18"/>
    </row>
    <row r="752" spans="1:2" ht="12.75">
      <c r="A752" s="18"/>
      <c r="B752" s="18"/>
    </row>
    <row r="753" spans="1:2" ht="12.75">
      <c r="A753" s="18"/>
      <c r="B753" s="18"/>
    </row>
    <row r="754" spans="1:2" ht="12.75">
      <c r="A754" s="18"/>
      <c r="B754" s="18"/>
    </row>
    <row r="755" spans="1:2" ht="12.75">
      <c r="A755" s="18"/>
      <c r="B755" s="18"/>
    </row>
    <row r="756" spans="1:2" ht="12.75">
      <c r="A756" s="18"/>
      <c r="B756" s="18"/>
    </row>
    <row r="757" spans="1:2" ht="12.75">
      <c r="A757" s="18"/>
      <c r="B757" s="18"/>
    </row>
    <row r="758" spans="1:2" ht="12.75">
      <c r="A758" s="18"/>
      <c r="B758" s="18"/>
    </row>
    <row r="759" spans="1:2" ht="12.75">
      <c r="A759" s="18"/>
      <c r="B759" s="18"/>
    </row>
    <row r="760" spans="1:2" ht="12.75">
      <c r="A760" s="18"/>
      <c r="B760" s="18"/>
    </row>
    <row r="761" spans="1:2" ht="12.75">
      <c r="A761" s="18"/>
      <c r="B761" s="18"/>
    </row>
    <row r="762" spans="1:2" ht="12.75">
      <c r="A762" s="18"/>
      <c r="B762" s="18"/>
    </row>
    <row r="763" spans="1:2" ht="12.75">
      <c r="A763" s="18"/>
      <c r="B763" s="18"/>
    </row>
    <row r="764" spans="1:2" ht="12.75">
      <c r="A764" s="18"/>
      <c r="B764" s="18"/>
    </row>
    <row r="765" spans="1:2" ht="12.75">
      <c r="A765" s="18"/>
      <c r="B765" s="18"/>
    </row>
    <row r="766" spans="1:2" ht="12.75">
      <c r="A766" s="18"/>
      <c r="B766" s="18"/>
    </row>
    <row r="767" spans="1:2" ht="12.75">
      <c r="A767" s="18"/>
      <c r="B767" s="18"/>
    </row>
    <row r="768" spans="1:2" ht="12.75">
      <c r="A768" s="18"/>
      <c r="B768" s="18"/>
    </row>
    <row r="769" spans="1:2" ht="12.75">
      <c r="A769" s="18"/>
      <c r="B769" s="18"/>
    </row>
    <row r="770" spans="1:2" ht="12.75">
      <c r="A770" s="18"/>
      <c r="B770" s="18"/>
    </row>
    <row r="771" spans="1:2" ht="12.75">
      <c r="A771" s="18"/>
      <c r="B771" s="18"/>
    </row>
    <row r="772" spans="1:2" ht="12.75">
      <c r="A772" s="18"/>
      <c r="B772" s="18"/>
    </row>
    <row r="773" spans="1:2" ht="12.75">
      <c r="A773" s="18"/>
      <c r="B773" s="18"/>
    </row>
    <row r="774" spans="1:2" ht="12.75">
      <c r="A774" s="18"/>
      <c r="B774" s="18"/>
    </row>
    <row r="775" spans="1:2" ht="12.75">
      <c r="A775" s="18"/>
      <c r="B775" s="18"/>
    </row>
    <row r="776" spans="1:2" ht="12.75">
      <c r="A776" s="18"/>
      <c r="B776" s="18"/>
    </row>
    <row r="777" spans="1:2" ht="12.75">
      <c r="A777" s="18"/>
      <c r="B777" s="18"/>
    </row>
    <row r="778" spans="1:2" ht="12.75">
      <c r="A778" s="18"/>
      <c r="B778" s="18"/>
    </row>
    <row r="779" spans="1:2" ht="12.75">
      <c r="A779" s="18"/>
      <c r="B779" s="18"/>
    </row>
    <row r="780" spans="1:2" ht="12.75">
      <c r="A780" s="18"/>
      <c r="B780" s="18"/>
    </row>
    <row r="781" spans="1:2" ht="12.75">
      <c r="A781" s="18"/>
      <c r="B781" s="18"/>
    </row>
    <row r="782" spans="1:2" ht="12.75">
      <c r="A782" s="18"/>
      <c r="B782" s="18"/>
    </row>
    <row r="783" spans="1:2" ht="12.75">
      <c r="A783" s="18"/>
      <c r="B783" s="18"/>
    </row>
    <row r="784" spans="1:2" ht="12.75">
      <c r="A784" s="18"/>
      <c r="B784" s="18"/>
    </row>
    <row r="785" spans="1:2" ht="12.75">
      <c r="A785" s="18"/>
      <c r="B785" s="18"/>
    </row>
    <row r="786" spans="1:2" ht="12.75">
      <c r="A786" s="18"/>
      <c r="B786" s="18"/>
    </row>
    <row r="787" spans="1:2" ht="12.75">
      <c r="A787" s="18"/>
      <c r="B787" s="18"/>
    </row>
    <row r="788" spans="1:2" ht="12.75">
      <c r="A788" s="18"/>
      <c r="B788" s="18"/>
    </row>
    <row r="789" spans="1:2" ht="12.75">
      <c r="A789" s="18"/>
      <c r="B789" s="18"/>
    </row>
    <row r="790" spans="1:2" ht="12.75">
      <c r="A790" s="18"/>
      <c r="B790" s="18"/>
    </row>
    <row r="791" spans="1:2" ht="12.75">
      <c r="A791" s="18"/>
      <c r="B791" s="18"/>
    </row>
    <row r="792" spans="1:2" ht="12.75">
      <c r="A792" s="18"/>
      <c r="B792" s="18"/>
    </row>
    <row r="793" spans="1:2" ht="12.75">
      <c r="A793" s="18"/>
      <c r="B793" s="18"/>
    </row>
    <row r="794" spans="1:2" ht="12.75">
      <c r="A794" s="18"/>
      <c r="B794" s="18"/>
    </row>
    <row r="795" spans="1:2" ht="12.75">
      <c r="A795" s="18"/>
      <c r="B795" s="18"/>
    </row>
    <row r="796" spans="1:2" ht="12.75">
      <c r="A796" s="18"/>
      <c r="B796" s="18"/>
    </row>
    <row r="797" spans="1:2" ht="12.75">
      <c r="A797" s="18"/>
      <c r="B797" s="18"/>
    </row>
    <row r="798" spans="1:2" ht="12.75">
      <c r="A798" s="18"/>
      <c r="B798" s="18"/>
    </row>
    <row r="799" spans="1:2" ht="12.75">
      <c r="A799" s="18"/>
      <c r="B799" s="18"/>
    </row>
    <row r="800" spans="1:2" ht="12.75">
      <c r="A800" s="18"/>
      <c r="B800" s="18"/>
    </row>
    <row r="801" spans="1:2" ht="12.75">
      <c r="A801" s="18"/>
      <c r="B801" s="18"/>
    </row>
    <row r="802" spans="1:2" ht="12.75">
      <c r="A802" s="18"/>
      <c r="B802" s="18"/>
    </row>
    <row r="803" spans="1:2" ht="12.75">
      <c r="A803" s="18"/>
      <c r="B803" s="18"/>
    </row>
    <row r="804" spans="1:2" ht="12.75">
      <c r="A804" s="18"/>
      <c r="B804" s="18"/>
    </row>
    <row r="805" spans="1:2" ht="12.75">
      <c r="A805" s="18"/>
      <c r="B805" s="18"/>
    </row>
    <row r="806" spans="1:2" ht="12.75">
      <c r="A806" s="18"/>
      <c r="B806" s="18"/>
    </row>
    <row r="807" spans="1:2" ht="12.75">
      <c r="A807" s="18"/>
      <c r="B807" s="18"/>
    </row>
    <row r="808" spans="1:2" ht="12.75">
      <c r="A808" s="18"/>
      <c r="B808" s="18"/>
    </row>
    <row r="809" spans="1:2" ht="12.75">
      <c r="A809" s="18"/>
      <c r="B809" s="18"/>
    </row>
    <row r="810" spans="1:2" ht="12.75">
      <c r="A810" s="18"/>
      <c r="B810" s="18"/>
    </row>
    <row r="811" spans="1:2" ht="12.75">
      <c r="A811" s="18"/>
      <c r="B811" s="18"/>
    </row>
    <row r="812" spans="1:2" ht="12.75">
      <c r="A812" s="18"/>
      <c r="B812" s="18"/>
    </row>
    <row r="813" spans="1:2" ht="12.75">
      <c r="A813" s="18"/>
      <c r="B813" s="18"/>
    </row>
    <row r="814" spans="1:2" ht="12.75">
      <c r="A814" s="18"/>
      <c r="B814" s="18"/>
    </row>
    <row r="815" spans="1:2" ht="12.75">
      <c r="A815" s="18"/>
      <c r="B815" s="18"/>
    </row>
    <row r="816" spans="1:2" ht="12.75">
      <c r="A816" s="18"/>
      <c r="B816" s="18"/>
    </row>
    <row r="817" spans="1:2" ht="12.75">
      <c r="A817" s="18"/>
      <c r="B817" s="18"/>
    </row>
    <row r="818" spans="1:2" ht="12.75">
      <c r="A818" s="18"/>
      <c r="B818" s="18"/>
    </row>
    <row r="819" spans="1:2" ht="12.75">
      <c r="A819" s="18"/>
      <c r="B819" s="18"/>
    </row>
    <row r="820" spans="1:2" ht="12.75">
      <c r="A820" s="18"/>
      <c r="B820" s="18"/>
    </row>
    <row r="821" spans="1:2" ht="12.75">
      <c r="A821" s="18"/>
      <c r="B821" s="18"/>
    </row>
    <row r="822" spans="1:2" ht="12.75">
      <c r="A822" s="18"/>
      <c r="B822" s="18"/>
    </row>
    <row r="823" spans="1:2" ht="12.75">
      <c r="A823" s="18"/>
      <c r="B823" s="18"/>
    </row>
    <row r="824" spans="1:2" ht="12.75">
      <c r="A824" s="18"/>
      <c r="B824" s="18"/>
    </row>
    <row r="825" spans="1:2" ht="12.75">
      <c r="A825" s="18"/>
      <c r="B825" s="18"/>
    </row>
    <row r="826" spans="1:2" ht="12.75">
      <c r="A826" s="18"/>
      <c r="B826" s="18"/>
    </row>
    <row r="827" spans="1:2" ht="12.75">
      <c r="A827" s="18"/>
      <c r="B827" s="18"/>
    </row>
    <row r="828" spans="1:2" ht="12.75">
      <c r="A828" s="18"/>
      <c r="B828" s="18"/>
    </row>
    <row r="829" spans="1:2" ht="12.75">
      <c r="A829" s="18"/>
      <c r="B829" s="18"/>
    </row>
    <row r="830" spans="1:2" ht="12.75">
      <c r="A830" s="18"/>
      <c r="B830" s="18"/>
    </row>
    <row r="831" spans="1:2" ht="12.75">
      <c r="A831" s="18"/>
      <c r="B831" s="18"/>
    </row>
    <row r="832" spans="1:2" ht="12.75">
      <c r="A832" s="18"/>
      <c r="B832" s="18"/>
    </row>
    <row r="833" spans="1:2" ht="12.75">
      <c r="A833" s="18"/>
      <c r="B833" s="18"/>
    </row>
    <row r="834" spans="1:2" ht="12.75">
      <c r="A834" s="18"/>
      <c r="B834" s="18"/>
    </row>
    <row r="835" spans="1:2" ht="12.75">
      <c r="A835" s="18"/>
      <c r="B835" s="18"/>
    </row>
    <row r="836" spans="1:2" ht="12.75">
      <c r="A836" s="18"/>
      <c r="B836" s="18"/>
    </row>
    <row r="837" spans="1:2" ht="12.75">
      <c r="A837" s="18"/>
      <c r="B837" s="18"/>
    </row>
    <row r="838" spans="1:2" ht="12.75">
      <c r="A838" s="18"/>
      <c r="B838" s="18"/>
    </row>
    <row r="839" spans="1:2" ht="12.75">
      <c r="A839" s="18"/>
      <c r="B839" s="18"/>
    </row>
    <row r="840" spans="1:2" ht="12.75">
      <c r="A840" s="18"/>
      <c r="B840" s="18"/>
    </row>
    <row r="841" spans="1:2" ht="12.75">
      <c r="A841" s="18"/>
      <c r="B841" s="18"/>
    </row>
    <row r="842" spans="1:2" ht="12.75">
      <c r="A842" s="18"/>
      <c r="B842" s="18"/>
    </row>
    <row r="843" spans="1:2" ht="12.75">
      <c r="A843" s="18"/>
      <c r="B843" s="18"/>
    </row>
    <row r="844" spans="1:2" ht="12.75">
      <c r="A844" s="18"/>
      <c r="B844" s="18"/>
    </row>
    <row r="845" spans="1:2" ht="12.75">
      <c r="A845" s="18"/>
      <c r="B845" s="18"/>
    </row>
    <row r="846" spans="1:2" ht="12.75">
      <c r="A846" s="18"/>
      <c r="B846" s="18"/>
    </row>
    <row r="847" spans="1:2" ht="12.75">
      <c r="A847" s="18"/>
      <c r="B847" s="18"/>
    </row>
    <row r="848" spans="1:2" ht="12.75">
      <c r="A848" s="18"/>
      <c r="B848" s="18"/>
    </row>
    <row r="849" spans="1:2" ht="12.75">
      <c r="A849" s="18"/>
      <c r="B849" s="18"/>
    </row>
    <row r="850" spans="1:2" ht="12.75">
      <c r="A850" s="18"/>
      <c r="B850" s="18"/>
    </row>
    <row r="851" spans="1:2" ht="12.75">
      <c r="A851" s="18"/>
      <c r="B851" s="18"/>
    </row>
    <row r="852" spans="1:2" ht="12.75">
      <c r="A852" s="18"/>
      <c r="B852" s="18"/>
    </row>
    <row r="853" spans="1:2" ht="12.75">
      <c r="A853" s="18"/>
      <c r="B853" s="18"/>
    </row>
    <row r="854" spans="1:2" ht="12.75">
      <c r="A854" s="18"/>
      <c r="B854" s="18"/>
    </row>
    <row r="855" spans="1:2" ht="12.75">
      <c r="A855" s="18"/>
      <c r="B855" s="18"/>
    </row>
    <row r="856" spans="1:2" ht="12.75">
      <c r="A856" s="18"/>
      <c r="B856" s="18"/>
    </row>
    <row r="857" spans="1:2" ht="12.75">
      <c r="A857" s="18"/>
      <c r="B857" s="18"/>
    </row>
    <row r="858" spans="1:2" ht="12.75">
      <c r="A858" s="18"/>
      <c r="B858" s="18"/>
    </row>
    <row r="859" spans="1:2" ht="12.75">
      <c r="A859" s="18"/>
      <c r="B859" s="18"/>
    </row>
    <row r="860" spans="1:2" ht="12.75">
      <c r="A860" s="18"/>
      <c r="B860" s="18"/>
    </row>
    <row r="861" spans="1:2" ht="12.75">
      <c r="A861" s="18"/>
      <c r="B861" s="18"/>
    </row>
    <row r="862" spans="1:2" ht="12.75">
      <c r="A862" s="18"/>
      <c r="B862" s="18"/>
    </row>
    <row r="863" spans="1:2" ht="12.75">
      <c r="A863" s="18"/>
      <c r="B863" s="18"/>
    </row>
    <row r="864" spans="1:2" ht="12.75">
      <c r="A864" s="18"/>
      <c r="B864" s="18"/>
    </row>
    <row r="865" spans="1:2" ht="12.75">
      <c r="A865" s="18"/>
      <c r="B865" s="18"/>
    </row>
    <row r="866" spans="1:2" ht="12.75">
      <c r="A866" s="18"/>
      <c r="B866" s="18"/>
    </row>
    <row r="867" spans="1:2" ht="12.75">
      <c r="A867" s="18"/>
      <c r="B867" s="18"/>
    </row>
    <row r="868" spans="1:2" ht="12.75">
      <c r="A868" s="18"/>
      <c r="B868" s="18"/>
    </row>
    <row r="869" spans="1:2" ht="12.75">
      <c r="A869" s="18"/>
      <c r="B869" s="18"/>
    </row>
    <row r="870" spans="1:2" ht="12.75">
      <c r="A870" s="18"/>
      <c r="B870" s="18"/>
    </row>
    <row r="871" spans="1:2" ht="12.75">
      <c r="A871" s="18"/>
      <c r="B871" s="18"/>
    </row>
    <row r="872" spans="1:2" ht="12.75">
      <c r="A872" s="18"/>
      <c r="B872" s="18"/>
    </row>
    <row r="873" spans="1:2" ht="12.75">
      <c r="A873" s="18"/>
      <c r="B873" s="18"/>
    </row>
    <row r="874" spans="1:2" ht="12.75">
      <c r="A874" s="18"/>
      <c r="B874" s="18"/>
    </row>
    <row r="875" spans="1:2" ht="12.75">
      <c r="A875" s="18"/>
      <c r="B875" s="18"/>
    </row>
    <row r="876" spans="1:2" ht="12.75">
      <c r="A876" s="18"/>
      <c r="B876" s="18"/>
    </row>
    <row r="877" spans="1:2" ht="12.75">
      <c r="A877" s="18"/>
      <c r="B877" s="18"/>
    </row>
    <row r="878" spans="1:2" ht="12.75">
      <c r="A878" s="18"/>
      <c r="B878" s="18"/>
    </row>
    <row r="879" spans="1:2" ht="12.75">
      <c r="A879" s="18"/>
      <c r="B879" s="18"/>
    </row>
    <row r="880" spans="1:2" ht="12.75">
      <c r="A880" s="18"/>
      <c r="B880" s="18"/>
    </row>
    <row r="881" spans="1:2" ht="12.75">
      <c r="A881" s="18"/>
      <c r="B881" s="18"/>
    </row>
    <row r="882" spans="1:2" ht="12.75">
      <c r="A882" s="18"/>
      <c r="B882" s="18"/>
    </row>
    <row r="883" spans="1:2" ht="12.75">
      <c r="A883" s="18"/>
      <c r="B883" s="18"/>
    </row>
    <row r="884" spans="1:2" ht="12.75">
      <c r="A884" s="18"/>
      <c r="B884" s="18"/>
    </row>
    <row r="885" spans="1:2" ht="12.75">
      <c r="A885" s="18"/>
      <c r="B885" s="18"/>
    </row>
    <row r="886" spans="1:2" ht="12.75">
      <c r="A886" s="18"/>
      <c r="B886" s="18"/>
    </row>
    <row r="887" spans="1:2" ht="12.75">
      <c r="A887" s="18"/>
      <c r="B887" s="18"/>
    </row>
    <row r="888" spans="1:2" ht="12.75">
      <c r="A888" s="18"/>
      <c r="B888" s="18"/>
    </row>
    <row r="889" spans="1:2" ht="12.75">
      <c r="A889" s="18"/>
      <c r="B889" s="18"/>
    </row>
    <row r="890" spans="1:2" ht="12.75">
      <c r="A890" s="18"/>
      <c r="B890" s="18"/>
    </row>
    <row r="891" spans="1:2" ht="12.75">
      <c r="A891" s="18"/>
      <c r="B891" s="18"/>
    </row>
    <row r="892" spans="1:2" ht="12.75">
      <c r="A892" s="18"/>
      <c r="B892" s="18"/>
    </row>
    <row r="893" spans="1:2" ht="12.75">
      <c r="A893" s="18"/>
      <c r="B893" s="18"/>
    </row>
    <row r="894" spans="1:2" ht="12.75">
      <c r="A894" s="18"/>
      <c r="B894" s="18"/>
    </row>
    <row r="895" spans="1:2" ht="12.75">
      <c r="A895" s="18"/>
      <c r="B895" s="18"/>
    </row>
    <row r="896" spans="1:2" ht="12.75">
      <c r="A896" s="18"/>
      <c r="B896" s="18"/>
    </row>
    <row r="897" spans="1:2" ht="12.75">
      <c r="A897" s="18"/>
      <c r="B897" s="18"/>
    </row>
    <row r="898" spans="1:2" ht="12.75">
      <c r="A898" s="18"/>
      <c r="B898" s="18"/>
    </row>
    <row r="899" spans="1:2" ht="12.75">
      <c r="A899" s="18"/>
      <c r="B899" s="18"/>
    </row>
    <row r="900" spans="1:2" ht="12.75">
      <c r="A900" s="18"/>
      <c r="B900" s="18"/>
    </row>
    <row r="901" spans="1:2" ht="12.75">
      <c r="A901" s="18"/>
      <c r="B901" s="18"/>
    </row>
    <row r="902" spans="1:2" ht="12.75">
      <c r="A902" s="18"/>
      <c r="B902" s="18"/>
    </row>
    <row r="903" spans="1:2" ht="12.75">
      <c r="A903" s="18"/>
      <c r="B903" s="18"/>
    </row>
    <row r="904" spans="1:2" ht="12.75">
      <c r="A904" s="18"/>
      <c r="B904" s="18"/>
    </row>
    <row r="905" spans="1:2" ht="12.75">
      <c r="A905" s="18"/>
      <c r="B905" s="18"/>
    </row>
    <row r="906" spans="1:2" ht="12.75">
      <c r="A906" s="18"/>
      <c r="B906" s="18"/>
    </row>
    <row r="907" spans="1:2" ht="12.75">
      <c r="A907" s="18"/>
      <c r="B907" s="18"/>
    </row>
    <row r="908" spans="1:2" ht="12.75">
      <c r="A908" s="18"/>
      <c r="B908" s="18"/>
    </row>
    <row r="909" spans="1:2" ht="12.75">
      <c r="A909" s="18"/>
      <c r="B909" s="18"/>
    </row>
    <row r="910" spans="1:2" ht="12.75">
      <c r="A910" s="18"/>
      <c r="B910" s="18"/>
    </row>
    <row r="911" spans="1:2" ht="12.75">
      <c r="A911" s="18"/>
      <c r="B911" s="18"/>
    </row>
    <row r="912" spans="1:2" ht="12.75">
      <c r="A912" s="18"/>
      <c r="B912" s="18"/>
    </row>
    <row r="913" spans="1:2" ht="12.75">
      <c r="A913" s="18"/>
      <c r="B913" s="18"/>
    </row>
    <row r="914" spans="1:2" ht="12.75">
      <c r="A914" s="18"/>
      <c r="B914" s="18"/>
    </row>
    <row r="915" spans="1:2" ht="12.75">
      <c r="A915" s="18"/>
      <c r="B915" s="18"/>
    </row>
    <row r="916" spans="1:2" ht="12.75">
      <c r="A916" s="18"/>
      <c r="B916" s="18"/>
    </row>
    <row r="917" spans="1:2" ht="12.75">
      <c r="A917" s="18"/>
      <c r="B917" s="18"/>
    </row>
    <row r="918" spans="1:2" ht="12.75">
      <c r="A918" s="18"/>
      <c r="B918" s="18"/>
    </row>
    <row r="919" spans="1:2" ht="12.75">
      <c r="A919" s="18"/>
      <c r="B919" s="18"/>
    </row>
    <row r="920" spans="1:2" ht="12.75">
      <c r="A920" s="18"/>
      <c r="B920" s="18"/>
    </row>
    <row r="921" spans="1:2" ht="12.75">
      <c r="A921" s="18"/>
      <c r="B921" s="18"/>
    </row>
    <row r="922" spans="1:2" ht="12.75">
      <c r="A922" s="18"/>
      <c r="B922" s="18"/>
    </row>
    <row r="923" spans="1:2" ht="12.75">
      <c r="A923" s="18"/>
      <c r="B923" s="18"/>
    </row>
    <row r="924" spans="1:2" ht="12.75">
      <c r="A924" s="18"/>
      <c r="B924" s="18"/>
    </row>
    <row r="925" spans="1:2" ht="12.75">
      <c r="A925" s="18"/>
      <c r="B925" s="18"/>
    </row>
    <row r="926" spans="1:2" ht="12.75">
      <c r="A926" s="18"/>
      <c r="B926" s="18"/>
    </row>
    <row r="927" spans="1:2" ht="12.75">
      <c r="A927" s="18"/>
      <c r="B927" s="18"/>
    </row>
    <row r="928" spans="1:2" ht="12.75">
      <c r="A928" s="18"/>
      <c r="B928" s="18"/>
    </row>
    <row r="929" spans="1:2" ht="12.75">
      <c r="A929" s="18"/>
      <c r="B929" s="18"/>
    </row>
    <row r="930" spans="1:2" ht="12.75">
      <c r="A930" s="18"/>
      <c r="B930" s="18"/>
    </row>
    <row r="931" spans="1:2" ht="12.75">
      <c r="A931" s="18"/>
      <c r="B931" s="18"/>
    </row>
    <row r="932" spans="1:2" ht="12.75">
      <c r="A932" s="18"/>
      <c r="B932" s="18"/>
    </row>
    <row r="933" spans="1:2" ht="12.75">
      <c r="A933" s="18"/>
      <c r="B933" s="18"/>
    </row>
    <row r="934" spans="1:2" ht="12.75">
      <c r="A934" s="18"/>
      <c r="B934" s="18"/>
    </row>
    <row r="935" spans="1:2" ht="12.75">
      <c r="A935" s="18"/>
      <c r="B935" s="18"/>
    </row>
    <row r="936" spans="1:2" ht="12.75">
      <c r="A936" s="18"/>
      <c r="B936" s="18"/>
    </row>
    <row r="937" spans="1:2" ht="12.75">
      <c r="A937" s="18"/>
      <c r="B937" s="18"/>
    </row>
    <row r="938" spans="1:2" ht="12.75">
      <c r="A938" s="18"/>
      <c r="B938" s="18"/>
    </row>
    <row r="939" spans="1:2" ht="12.75">
      <c r="A939" s="18"/>
      <c r="B939" s="18"/>
    </row>
    <row r="940" spans="1:2" ht="12.75">
      <c r="A940" s="18"/>
      <c r="B940" s="18"/>
    </row>
    <row r="941" spans="1:2" ht="12.75">
      <c r="A941" s="18"/>
      <c r="B941" s="18"/>
    </row>
    <row r="942" spans="1:2" ht="12.75">
      <c r="A942" s="18"/>
      <c r="B942" s="18"/>
    </row>
    <row r="943" spans="1:2" ht="12.75">
      <c r="A943" s="18"/>
      <c r="B943" s="18"/>
    </row>
    <row r="944" spans="1:2" ht="12.75">
      <c r="A944" s="18"/>
      <c r="B944" s="18"/>
    </row>
    <row r="945" spans="1:2" ht="12.75">
      <c r="A945" s="18"/>
      <c r="B945" s="18"/>
    </row>
    <row r="946" spans="1:2" ht="12.75">
      <c r="A946" s="18"/>
      <c r="B946" s="18"/>
    </row>
    <row r="947" spans="1:2" ht="12.75">
      <c r="A947" s="18"/>
      <c r="B947" s="18"/>
    </row>
    <row r="948" spans="1:2" ht="12.75">
      <c r="A948" s="18"/>
      <c r="B948" s="18"/>
    </row>
    <row r="949" spans="1:2" ht="12.75">
      <c r="A949" s="18"/>
      <c r="B949" s="18"/>
    </row>
    <row r="950" spans="1:2" ht="12.75">
      <c r="A950" s="18"/>
      <c r="B950" s="18"/>
    </row>
    <row r="951" spans="1:2" ht="12.75">
      <c r="A951" s="18"/>
      <c r="B951" s="18"/>
    </row>
    <row r="952" spans="1:2" ht="12.75">
      <c r="A952" s="18"/>
      <c r="B952" s="18"/>
    </row>
    <row r="953" spans="1:2" ht="12.75">
      <c r="A953" s="18"/>
      <c r="B953" s="18"/>
    </row>
    <row r="954" spans="1:2" ht="12.75">
      <c r="A954" s="18"/>
      <c r="B954" s="18"/>
    </row>
    <row r="955" spans="1:2" ht="12.75">
      <c r="A955" s="18"/>
      <c r="B955" s="18"/>
    </row>
    <row r="956" spans="1:2" ht="12.75">
      <c r="A956" s="18"/>
      <c r="B956" s="18"/>
    </row>
    <row r="957" spans="1:2" ht="12.75">
      <c r="A957" s="18"/>
      <c r="B957" s="18"/>
    </row>
    <row r="958" spans="1:2" ht="12.75">
      <c r="A958" s="18"/>
      <c r="B958" s="18"/>
    </row>
    <row r="959" spans="1:2" ht="12.75">
      <c r="A959" s="18"/>
      <c r="B959" s="18"/>
    </row>
    <row r="960" spans="1:2" ht="12.75">
      <c r="A960" s="18"/>
      <c r="B960" s="18"/>
    </row>
    <row r="961" spans="1:2" ht="12.75">
      <c r="A961" s="18"/>
      <c r="B961" s="18"/>
    </row>
    <row r="962" spans="1:2" ht="12.75">
      <c r="A962" s="18"/>
      <c r="B962" s="18"/>
    </row>
    <row r="963" spans="1:2" ht="12.75">
      <c r="A963" s="18"/>
      <c r="B963" s="18"/>
    </row>
    <row r="964" spans="1:2" ht="12.75">
      <c r="A964" s="18"/>
      <c r="B964" s="18"/>
    </row>
    <row r="965" spans="1:2" ht="12.75">
      <c r="A965" s="18"/>
      <c r="B965" s="18"/>
    </row>
    <row r="966" spans="1:2" ht="12.75">
      <c r="A966" s="18"/>
      <c r="B966" s="18"/>
    </row>
    <row r="967" spans="1:2" ht="12.75">
      <c r="A967" s="18"/>
      <c r="B967" s="18"/>
    </row>
    <row r="968" spans="1:2" ht="12.75">
      <c r="A968" s="18"/>
      <c r="B968" s="18"/>
    </row>
    <row r="969" spans="1:2" ht="12.75">
      <c r="A969" s="18"/>
      <c r="B969" s="18"/>
    </row>
    <row r="970" spans="1:2" ht="12.75">
      <c r="A970" s="18"/>
      <c r="B970" s="18"/>
    </row>
    <row r="971" spans="1:2" ht="12.75">
      <c r="A971" s="18"/>
      <c r="B971" s="18"/>
    </row>
    <row r="972" spans="1:2" ht="12.75">
      <c r="A972" s="18"/>
      <c r="B972" s="18"/>
    </row>
    <row r="973" spans="1:2" ht="12.75">
      <c r="A973" s="18"/>
      <c r="B973" s="18"/>
    </row>
    <row r="974" spans="1:2" ht="12.75">
      <c r="A974" s="18"/>
      <c r="B974" s="18"/>
    </row>
    <row r="975" spans="1:2" ht="12.75">
      <c r="A975" s="18"/>
      <c r="B975" s="18"/>
    </row>
    <row r="976" spans="1:2" ht="12.75">
      <c r="A976" s="18"/>
      <c r="B976" s="18"/>
    </row>
    <row r="977" spans="1:2" ht="12.75">
      <c r="A977" s="18"/>
      <c r="B977" s="18"/>
    </row>
    <row r="978" spans="1:2" ht="12.75">
      <c r="A978" s="18"/>
      <c r="B978" s="18"/>
    </row>
    <row r="979" spans="1:2" ht="12.75">
      <c r="A979" s="18"/>
      <c r="B979" s="18"/>
    </row>
    <row r="980" spans="1:2" ht="12.75">
      <c r="A980" s="18"/>
      <c r="B980" s="18"/>
    </row>
    <row r="981" spans="1:2" ht="12.75">
      <c r="A981" s="18"/>
      <c r="B981" s="18"/>
    </row>
    <row r="982" spans="1:2" ht="12.75">
      <c r="A982" s="18"/>
      <c r="B982" s="18"/>
    </row>
    <row r="983" spans="1:2" ht="12.75">
      <c r="A983" s="18"/>
      <c r="B983" s="18"/>
    </row>
    <row r="984" spans="1:2" ht="12.75">
      <c r="A984" s="18"/>
      <c r="B984" s="18"/>
    </row>
    <row r="985" spans="1:2" ht="12.75">
      <c r="A985" s="18"/>
      <c r="B985" s="18"/>
    </row>
    <row r="986" spans="1:2" ht="12.75">
      <c r="A986" s="18"/>
      <c r="B986" s="18"/>
    </row>
    <row r="987" spans="1:2" ht="12.75">
      <c r="A987" s="18"/>
      <c r="B987" s="18"/>
    </row>
    <row r="988" spans="1:2" ht="12.75">
      <c r="A988" s="18"/>
      <c r="B988" s="18"/>
    </row>
    <row r="989" spans="1:2" ht="12.75">
      <c r="A989" s="18"/>
      <c r="B989" s="18"/>
    </row>
    <row r="990" spans="1:2" ht="12.75">
      <c r="A990" s="18"/>
      <c r="B990" s="18"/>
    </row>
    <row r="991" spans="1:2" ht="12.75">
      <c r="A991" s="18"/>
      <c r="B991" s="18"/>
    </row>
    <row r="992" spans="1:2" ht="12.75">
      <c r="A992" s="18"/>
      <c r="B992" s="18"/>
    </row>
    <row r="993" spans="1:2" ht="12.75">
      <c r="A993" s="18"/>
      <c r="B993" s="18"/>
    </row>
    <row r="994" spans="1:2" ht="12.75">
      <c r="A994" s="18"/>
      <c r="B994"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52613-3A57-47DA-A32B-D38147EFC5EA}">
  <dimension ref="A1:P340"/>
  <sheetViews>
    <sheetView workbookViewId="0">
      <selection sqref="A1:P340"/>
    </sheetView>
  </sheetViews>
  <sheetFormatPr defaultRowHeight="12.75"/>
  <cols>
    <col min="1" max="1" width="11.85546875" style="21" bestFit="1" customWidth="1"/>
    <col min="2" max="2" width="30.7109375" style="21" bestFit="1" customWidth="1"/>
    <col min="3" max="3" width="30.7109375" style="22" bestFit="1" customWidth="1"/>
    <col min="4" max="4" width="18.85546875" style="21" bestFit="1" customWidth="1"/>
    <col min="5" max="10" width="30.7109375" style="21" bestFit="1" customWidth="1"/>
    <col min="11" max="11" width="12.42578125" style="21" bestFit="1" customWidth="1"/>
    <col min="12" max="12" width="24.85546875" style="21" bestFit="1" customWidth="1"/>
    <col min="13" max="15" width="30.7109375" style="21" bestFit="1" customWidth="1"/>
    <col min="16" max="16" width="22" style="21" bestFit="1" customWidth="1"/>
    <col min="17" max="16384" width="9.140625" style="21"/>
  </cols>
  <sheetData>
    <row r="1" spans="1:16" s="19" customFormat="1">
      <c r="A1" s="19" t="s">
        <v>41</v>
      </c>
      <c r="B1" s="19" t="s">
        <v>42</v>
      </c>
      <c r="C1" s="20" t="s">
        <v>6</v>
      </c>
      <c r="D1" s="19" t="s">
        <v>43</v>
      </c>
      <c r="E1" s="19" t="s">
        <v>44</v>
      </c>
      <c r="F1" s="19" t="s">
        <v>45</v>
      </c>
      <c r="G1" s="19" t="s">
        <v>46</v>
      </c>
      <c r="H1" s="19" t="s">
        <v>47</v>
      </c>
      <c r="I1" s="19" t="s">
        <v>48</v>
      </c>
      <c r="J1" s="19" t="s">
        <v>49</v>
      </c>
      <c r="K1" s="19" t="s">
        <v>50</v>
      </c>
      <c r="L1" s="19" t="s">
        <v>51</v>
      </c>
      <c r="M1" s="19" t="s">
        <v>52</v>
      </c>
      <c r="N1" s="19" t="s">
        <v>53</v>
      </c>
      <c r="O1" s="19" t="s">
        <v>54</v>
      </c>
      <c r="P1" s="19" t="s">
        <v>55</v>
      </c>
    </row>
    <row r="2" spans="1:16" ht="48">
      <c r="A2" s="21">
        <v>6</v>
      </c>
      <c r="B2" s="21" t="s">
        <v>56</v>
      </c>
      <c r="C2" s="22" t="s">
        <v>57</v>
      </c>
      <c r="D2" s="21" t="s">
        <v>58</v>
      </c>
      <c r="E2" s="21" t="s">
        <v>59</v>
      </c>
      <c r="F2" s="21" t="s">
        <v>60</v>
      </c>
      <c r="G2" s="21" t="s">
        <v>61</v>
      </c>
      <c r="I2" s="21" t="s">
        <v>62</v>
      </c>
      <c r="J2" s="21" t="s">
        <v>63</v>
      </c>
      <c r="L2" s="21" t="s">
        <v>64</v>
      </c>
      <c r="N2" s="21" t="s">
        <v>65</v>
      </c>
      <c r="O2" s="21" t="s">
        <v>66</v>
      </c>
      <c r="P2" s="21" t="s">
        <v>67</v>
      </c>
    </row>
    <row r="3" spans="1:16" ht="48.75" customHeight="1">
      <c r="A3" s="21">
        <v>7</v>
      </c>
      <c r="B3" s="21" t="s">
        <v>68</v>
      </c>
      <c r="C3" s="22" t="s">
        <v>69</v>
      </c>
      <c r="D3" s="21" t="s">
        <v>58</v>
      </c>
      <c r="E3" s="21" t="s">
        <v>59</v>
      </c>
      <c r="F3" s="21" t="s">
        <v>70</v>
      </c>
      <c r="G3" s="21" t="s">
        <v>71</v>
      </c>
      <c r="I3" s="21" t="s">
        <v>62</v>
      </c>
      <c r="J3" s="21" t="s">
        <v>72</v>
      </c>
      <c r="L3" s="21" t="s">
        <v>64</v>
      </c>
      <c r="P3" s="21" t="s">
        <v>67</v>
      </c>
    </row>
    <row r="4" spans="1:16" ht="130.5">
      <c r="A4" s="21">
        <v>8</v>
      </c>
      <c r="B4" s="21" t="s">
        <v>73</v>
      </c>
      <c r="C4" s="22" t="s">
        <v>74</v>
      </c>
      <c r="D4" s="21" t="s">
        <v>58</v>
      </c>
      <c r="E4" s="21" t="s">
        <v>59</v>
      </c>
      <c r="F4" s="21" t="s">
        <v>75</v>
      </c>
      <c r="G4" s="21" t="s">
        <v>76</v>
      </c>
      <c r="I4" s="21" t="s">
        <v>62</v>
      </c>
      <c r="J4" s="21" t="s">
        <v>77</v>
      </c>
      <c r="L4" s="21" t="s">
        <v>64</v>
      </c>
      <c r="M4" s="21" t="s">
        <v>78</v>
      </c>
      <c r="N4" s="21" t="s">
        <v>79</v>
      </c>
      <c r="P4" s="21" t="s">
        <v>67</v>
      </c>
    </row>
    <row r="5" spans="1:16" ht="73.5" customHeight="1">
      <c r="A5" s="21">
        <v>9</v>
      </c>
      <c r="B5" s="21" t="s">
        <v>80</v>
      </c>
      <c r="C5" s="22" t="s">
        <v>80</v>
      </c>
      <c r="D5" s="21" t="s">
        <v>58</v>
      </c>
      <c r="E5" s="21" t="s">
        <v>59</v>
      </c>
      <c r="F5" s="21" t="s">
        <v>81</v>
      </c>
      <c r="G5" s="21" t="s">
        <v>82</v>
      </c>
      <c r="L5" s="21" t="s">
        <v>64</v>
      </c>
      <c r="P5" s="21" t="s">
        <v>67</v>
      </c>
    </row>
    <row r="6" spans="1:16" ht="36">
      <c r="A6" s="21">
        <v>10</v>
      </c>
      <c r="B6" s="21" t="s">
        <v>83</v>
      </c>
      <c r="C6" s="22" t="s">
        <v>84</v>
      </c>
      <c r="D6" s="21" t="s">
        <v>58</v>
      </c>
      <c r="E6" s="21" t="s">
        <v>59</v>
      </c>
      <c r="F6" s="21" t="s">
        <v>85</v>
      </c>
      <c r="G6" s="21" t="s">
        <v>86</v>
      </c>
      <c r="I6" s="21" t="s">
        <v>62</v>
      </c>
      <c r="J6" s="21" t="s">
        <v>87</v>
      </c>
      <c r="L6" s="21" t="s">
        <v>64</v>
      </c>
      <c r="P6" s="21" t="s">
        <v>67</v>
      </c>
    </row>
    <row r="7" spans="1:16" ht="72">
      <c r="A7" s="21">
        <v>11</v>
      </c>
      <c r="B7" s="21" t="s">
        <v>88</v>
      </c>
      <c r="C7" s="22" t="s">
        <v>89</v>
      </c>
      <c r="D7" s="21" t="s">
        <v>58</v>
      </c>
      <c r="E7" s="21" t="s">
        <v>59</v>
      </c>
      <c r="F7" s="21" t="s">
        <v>90</v>
      </c>
      <c r="G7" s="21" t="s">
        <v>86</v>
      </c>
      <c r="I7" s="21" t="s">
        <v>62</v>
      </c>
      <c r="J7" s="21" t="s">
        <v>91</v>
      </c>
      <c r="L7" s="21" t="s">
        <v>64</v>
      </c>
      <c r="P7" s="21" t="s">
        <v>67</v>
      </c>
    </row>
    <row r="8" spans="1:16" ht="165" customHeight="1">
      <c r="A8" s="21">
        <v>12</v>
      </c>
      <c r="B8" s="21" t="s">
        <v>92</v>
      </c>
      <c r="C8" s="22" t="s">
        <v>93</v>
      </c>
      <c r="D8" s="21" t="s">
        <v>58</v>
      </c>
      <c r="E8" s="21" t="s">
        <v>59</v>
      </c>
      <c r="F8" s="21" t="s">
        <v>94</v>
      </c>
      <c r="G8" s="21" t="s">
        <v>86</v>
      </c>
      <c r="I8" s="21" t="s">
        <v>62</v>
      </c>
      <c r="J8" s="21" t="s">
        <v>95</v>
      </c>
      <c r="L8" s="21" t="s">
        <v>64</v>
      </c>
      <c r="N8" s="21" t="s">
        <v>96</v>
      </c>
      <c r="P8" s="21" t="s">
        <v>67</v>
      </c>
    </row>
    <row r="9" spans="1:16" ht="238.5">
      <c r="A9" s="21">
        <v>13</v>
      </c>
      <c r="B9" s="21" t="s">
        <v>97</v>
      </c>
      <c r="C9" s="22" t="s">
        <v>98</v>
      </c>
      <c r="D9" s="21" t="s">
        <v>58</v>
      </c>
      <c r="E9" s="21" t="s">
        <v>59</v>
      </c>
      <c r="F9" s="21" t="s">
        <v>99</v>
      </c>
      <c r="G9" s="21" t="s">
        <v>100</v>
      </c>
      <c r="I9" s="21" t="s">
        <v>62</v>
      </c>
      <c r="J9" s="21" t="s">
        <v>101</v>
      </c>
      <c r="L9" s="21" t="s">
        <v>64</v>
      </c>
      <c r="M9" s="21" t="s">
        <v>102</v>
      </c>
      <c r="P9" s="21" t="s">
        <v>67</v>
      </c>
    </row>
    <row r="10" spans="1:16" ht="24">
      <c r="A10" s="21">
        <v>14</v>
      </c>
      <c r="B10" s="21" t="s">
        <v>103</v>
      </c>
      <c r="C10" s="22" t="s">
        <v>104</v>
      </c>
      <c r="D10" s="21" t="s">
        <v>58</v>
      </c>
      <c r="E10" s="21" t="s">
        <v>59</v>
      </c>
      <c r="F10" s="21" t="s">
        <v>105</v>
      </c>
      <c r="G10" s="21" t="s">
        <v>106</v>
      </c>
      <c r="I10" s="21" t="s">
        <v>62</v>
      </c>
      <c r="J10" s="21" t="s">
        <v>107</v>
      </c>
      <c r="L10" s="21" t="s">
        <v>64</v>
      </c>
      <c r="N10" s="21" t="s">
        <v>108</v>
      </c>
      <c r="O10" s="21" t="s">
        <v>109</v>
      </c>
      <c r="P10" s="21" t="s">
        <v>67</v>
      </c>
    </row>
    <row r="11" spans="1:16" ht="268.5" customHeight="1">
      <c r="A11" s="21">
        <v>15</v>
      </c>
      <c r="B11" s="21" t="s">
        <v>110</v>
      </c>
      <c r="C11" s="22" t="s">
        <v>111</v>
      </c>
      <c r="D11" s="21" t="s">
        <v>58</v>
      </c>
      <c r="E11" s="21" t="s">
        <v>59</v>
      </c>
      <c r="F11" s="21" t="s">
        <v>112</v>
      </c>
      <c r="H11" s="21" t="s">
        <v>113</v>
      </c>
      <c r="I11" s="21" t="s">
        <v>62</v>
      </c>
      <c r="J11" s="21" t="s">
        <v>114</v>
      </c>
      <c r="L11" s="21" t="s">
        <v>64</v>
      </c>
      <c r="O11" s="21" t="s">
        <v>109</v>
      </c>
      <c r="P11" s="21" t="s">
        <v>67</v>
      </c>
    </row>
    <row r="12" spans="1:16" ht="96">
      <c r="A12" s="21">
        <v>16</v>
      </c>
      <c r="B12" s="21" t="s">
        <v>115</v>
      </c>
      <c r="C12" s="22" t="s">
        <v>116</v>
      </c>
      <c r="D12" s="21" t="s">
        <v>58</v>
      </c>
      <c r="E12" s="21" t="s">
        <v>59</v>
      </c>
      <c r="F12" s="21" t="s">
        <v>117</v>
      </c>
      <c r="I12" s="21" t="s">
        <v>62</v>
      </c>
      <c r="J12" s="21" t="s">
        <v>118</v>
      </c>
      <c r="L12" s="21" t="s">
        <v>64</v>
      </c>
      <c r="N12" s="21" t="s">
        <v>119</v>
      </c>
      <c r="P12" s="21" t="s">
        <v>67</v>
      </c>
    </row>
    <row r="13" spans="1:16" ht="96">
      <c r="A13" s="21">
        <v>17</v>
      </c>
      <c r="B13" s="21" t="s">
        <v>120</v>
      </c>
      <c r="C13" s="22" t="s">
        <v>121</v>
      </c>
      <c r="D13" s="21" t="s">
        <v>58</v>
      </c>
      <c r="E13" s="21" t="s">
        <v>59</v>
      </c>
      <c r="F13" s="21" t="s">
        <v>122</v>
      </c>
      <c r="G13" s="21" t="s">
        <v>123</v>
      </c>
      <c r="I13" s="21" t="s">
        <v>62</v>
      </c>
      <c r="J13" s="21" t="s">
        <v>124</v>
      </c>
      <c r="L13" s="21" t="s">
        <v>64</v>
      </c>
      <c r="N13" s="21" t="s">
        <v>125</v>
      </c>
      <c r="P13" s="21" t="s">
        <v>67</v>
      </c>
    </row>
    <row r="14" spans="1:16" ht="48">
      <c r="A14" s="21">
        <v>18</v>
      </c>
      <c r="B14" s="21" t="s">
        <v>126</v>
      </c>
      <c r="C14" s="22" t="s">
        <v>127</v>
      </c>
      <c r="D14" s="21" t="s">
        <v>58</v>
      </c>
      <c r="E14" s="21" t="s">
        <v>59</v>
      </c>
      <c r="F14" s="21" t="s">
        <v>128</v>
      </c>
      <c r="I14" s="21" t="s">
        <v>62</v>
      </c>
      <c r="J14" s="21" t="s">
        <v>129</v>
      </c>
      <c r="L14" s="21" t="s">
        <v>64</v>
      </c>
      <c r="N14" s="21" t="s">
        <v>130</v>
      </c>
      <c r="O14" s="21" t="s">
        <v>131</v>
      </c>
      <c r="P14" s="21" t="s">
        <v>67</v>
      </c>
    </row>
    <row r="15" spans="1:16" ht="118.5">
      <c r="A15" s="21">
        <v>19</v>
      </c>
      <c r="B15" s="21" t="s">
        <v>132</v>
      </c>
      <c r="C15" s="22" t="s">
        <v>133</v>
      </c>
      <c r="D15" s="21" t="s">
        <v>58</v>
      </c>
      <c r="E15" s="21" t="s">
        <v>59</v>
      </c>
      <c r="F15" s="21" t="s">
        <v>134</v>
      </c>
      <c r="G15" s="21" t="s">
        <v>106</v>
      </c>
      <c r="H15" s="21" t="s">
        <v>135</v>
      </c>
      <c r="I15" s="21" t="s">
        <v>62</v>
      </c>
      <c r="J15" s="21" t="s">
        <v>136</v>
      </c>
      <c r="L15" s="21" t="s">
        <v>64</v>
      </c>
      <c r="O15" s="21" t="s">
        <v>131</v>
      </c>
      <c r="P15" s="21" t="s">
        <v>67</v>
      </c>
    </row>
    <row r="16" spans="1:16" ht="24">
      <c r="A16" s="21">
        <v>20</v>
      </c>
      <c r="B16" s="21" t="s">
        <v>137</v>
      </c>
      <c r="C16" s="22" t="s">
        <v>138</v>
      </c>
      <c r="D16" s="21" t="s">
        <v>58</v>
      </c>
      <c r="E16" s="21" t="s">
        <v>59</v>
      </c>
      <c r="F16" s="21" t="s">
        <v>139</v>
      </c>
      <c r="G16" s="21" t="s">
        <v>140</v>
      </c>
      <c r="I16" s="21" t="s">
        <v>141</v>
      </c>
      <c r="J16" s="21" t="s">
        <v>142</v>
      </c>
      <c r="L16" s="21" t="s">
        <v>64</v>
      </c>
      <c r="P16" s="21" t="s">
        <v>67</v>
      </c>
    </row>
    <row r="17" spans="1:16" ht="24">
      <c r="A17" s="21">
        <v>21</v>
      </c>
      <c r="B17" s="21" t="s">
        <v>143</v>
      </c>
      <c r="C17" s="22" t="s">
        <v>144</v>
      </c>
      <c r="D17" s="21" t="s">
        <v>58</v>
      </c>
      <c r="E17" s="21" t="s">
        <v>59</v>
      </c>
      <c r="F17" s="21" t="s">
        <v>145</v>
      </c>
      <c r="G17" s="21" t="s">
        <v>146</v>
      </c>
      <c r="I17" s="21" t="s">
        <v>62</v>
      </c>
      <c r="J17" s="21" t="s">
        <v>147</v>
      </c>
      <c r="L17" s="21" t="s">
        <v>64</v>
      </c>
      <c r="O17" s="21" t="s">
        <v>148</v>
      </c>
      <c r="P17" s="21" t="s">
        <v>67</v>
      </c>
    </row>
    <row r="18" spans="1:16" ht="72">
      <c r="A18" s="21">
        <v>22</v>
      </c>
      <c r="B18" s="21" t="s">
        <v>149</v>
      </c>
      <c r="C18" s="22" t="s">
        <v>150</v>
      </c>
      <c r="D18" s="21" t="s">
        <v>58</v>
      </c>
      <c r="E18" s="21" t="s">
        <v>59</v>
      </c>
      <c r="F18" s="21" t="s">
        <v>151</v>
      </c>
      <c r="G18" s="21" t="s">
        <v>152</v>
      </c>
      <c r="I18" s="21" t="s">
        <v>153</v>
      </c>
      <c r="J18" s="21" t="s">
        <v>154</v>
      </c>
      <c r="L18" s="21" t="s">
        <v>64</v>
      </c>
      <c r="P18" s="21" t="s">
        <v>155</v>
      </c>
    </row>
    <row r="19" spans="1:16" ht="24">
      <c r="A19" s="21">
        <v>23</v>
      </c>
      <c r="B19" s="21" t="s">
        <v>156</v>
      </c>
      <c r="C19" s="22" t="s">
        <v>157</v>
      </c>
      <c r="D19" s="21" t="s">
        <v>58</v>
      </c>
      <c r="E19" s="21" t="s">
        <v>59</v>
      </c>
      <c r="F19" s="21" t="s">
        <v>158</v>
      </c>
      <c r="G19" s="21" t="s">
        <v>159</v>
      </c>
      <c r="I19" s="21" t="s">
        <v>62</v>
      </c>
      <c r="J19" s="21" t="s">
        <v>160</v>
      </c>
      <c r="L19" s="21" t="s">
        <v>64</v>
      </c>
      <c r="M19" s="21" t="s">
        <v>161</v>
      </c>
      <c r="O19" s="21" t="s">
        <v>162</v>
      </c>
      <c r="P19" s="21" t="s">
        <v>163</v>
      </c>
    </row>
    <row r="20" spans="1:16" ht="36">
      <c r="A20" s="21">
        <v>24</v>
      </c>
      <c r="B20" s="21" t="s">
        <v>164</v>
      </c>
      <c r="C20" s="22" t="s">
        <v>165</v>
      </c>
      <c r="D20" s="21" t="s">
        <v>58</v>
      </c>
      <c r="E20" s="21" t="s">
        <v>59</v>
      </c>
      <c r="F20" s="21" t="s">
        <v>166</v>
      </c>
      <c r="G20" s="21">
        <v>100</v>
      </c>
      <c r="I20" s="21" t="s">
        <v>62</v>
      </c>
      <c r="J20" s="21" t="s">
        <v>167</v>
      </c>
      <c r="L20" s="21" t="s">
        <v>64</v>
      </c>
      <c r="O20" s="21" t="s">
        <v>168</v>
      </c>
      <c r="P20" s="21" t="s">
        <v>163</v>
      </c>
    </row>
    <row r="21" spans="1:16" ht="36">
      <c r="A21" s="21">
        <v>25</v>
      </c>
      <c r="B21" s="21" t="s">
        <v>169</v>
      </c>
      <c r="C21" s="22" t="s">
        <v>170</v>
      </c>
      <c r="D21" s="21" t="s">
        <v>58</v>
      </c>
      <c r="E21" s="21" t="s">
        <v>59</v>
      </c>
      <c r="F21" s="21" t="s">
        <v>171</v>
      </c>
      <c r="G21" s="21">
        <v>100</v>
      </c>
      <c r="I21" s="21" t="s">
        <v>62</v>
      </c>
      <c r="J21" s="21" t="s">
        <v>172</v>
      </c>
      <c r="L21" s="21" t="s">
        <v>64</v>
      </c>
      <c r="P21" s="21" t="s">
        <v>163</v>
      </c>
    </row>
    <row r="22" spans="1:16" ht="24">
      <c r="A22" s="21">
        <v>26</v>
      </c>
      <c r="B22" s="21" t="s">
        <v>173</v>
      </c>
      <c r="C22" s="22" t="s">
        <v>174</v>
      </c>
      <c r="D22" s="21" t="s">
        <v>58</v>
      </c>
      <c r="E22" s="21" t="s">
        <v>59</v>
      </c>
      <c r="F22" s="21" t="s">
        <v>175</v>
      </c>
      <c r="G22" s="21" t="s">
        <v>176</v>
      </c>
      <c r="I22" s="21" t="s">
        <v>62</v>
      </c>
      <c r="J22" s="21" t="s">
        <v>177</v>
      </c>
      <c r="L22" s="21" t="s">
        <v>64</v>
      </c>
      <c r="O22" s="21" t="s">
        <v>178</v>
      </c>
      <c r="P22" s="21" t="s">
        <v>67</v>
      </c>
    </row>
    <row r="23" spans="1:16" ht="36">
      <c r="A23" s="21">
        <v>27</v>
      </c>
      <c r="B23" s="21" t="s">
        <v>179</v>
      </c>
      <c r="C23" s="22" t="s">
        <v>180</v>
      </c>
      <c r="D23" s="21" t="s">
        <v>58</v>
      </c>
      <c r="E23" s="21" t="s">
        <v>59</v>
      </c>
      <c r="F23" s="21" t="s">
        <v>181</v>
      </c>
      <c r="G23" s="21" t="s">
        <v>182</v>
      </c>
      <c r="I23" s="21" t="s">
        <v>62</v>
      </c>
      <c r="J23" s="21" t="s">
        <v>183</v>
      </c>
      <c r="L23" s="21" t="s">
        <v>64</v>
      </c>
      <c r="O23" s="21" t="s">
        <v>184</v>
      </c>
      <c r="P23" s="21" t="s">
        <v>67</v>
      </c>
    </row>
    <row r="24" spans="1:16" ht="48">
      <c r="A24" s="21">
        <v>28</v>
      </c>
      <c r="B24" s="21" t="s">
        <v>185</v>
      </c>
      <c r="C24" s="22" t="s">
        <v>186</v>
      </c>
      <c r="D24" s="21" t="s">
        <v>58</v>
      </c>
      <c r="E24" s="21" t="s">
        <v>59</v>
      </c>
      <c r="F24" s="21" t="s">
        <v>187</v>
      </c>
      <c r="G24" s="21" t="s">
        <v>188</v>
      </c>
      <c r="I24" s="21" t="s">
        <v>189</v>
      </c>
      <c r="J24" s="21" t="s">
        <v>190</v>
      </c>
      <c r="L24" s="21" t="s">
        <v>64</v>
      </c>
      <c r="P24" s="21" t="s">
        <v>67</v>
      </c>
    </row>
    <row r="25" spans="1:16" ht="72">
      <c r="A25" s="21">
        <v>29</v>
      </c>
      <c r="B25" s="21" t="s">
        <v>191</v>
      </c>
      <c r="C25" s="22" t="s">
        <v>192</v>
      </c>
      <c r="D25" s="21" t="s">
        <v>58</v>
      </c>
      <c r="E25" s="21" t="s">
        <v>59</v>
      </c>
      <c r="F25" s="21" t="s">
        <v>193</v>
      </c>
      <c r="G25" s="21">
        <v>1</v>
      </c>
      <c r="I25" s="21" t="s">
        <v>194</v>
      </c>
      <c r="J25" s="21" t="s">
        <v>195</v>
      </c>
      <c r="L25" s="21" t="s">
        <v>64</v>
      </c>
      <c r="P25" s="21" t="s">
        <v>67</v>
      </c>
    </row>
    <row r="26" spans="1:16" ht="36">
      <c r="A26" s="21">
        <v>30</v>
      </c>
      <c r="B26" s="21" t="s">
        <v>196</v>
      </c>
      <c r="C26" s="22" t="s">
        <v>197</v>
      </c>
      <c r="D26" s="21" t="s">
        <v>58</v>
      </c>
      <c r="E26" s="21" t="s">
        <v>59</v>
      </c>
      <c r="F26" s="21" t="s">
        <v>198</v>
      </c>
      <c r="G26" s="21" t="s">
        <v>86</v>
      </c>
      <c r="I26" s="21" t="s">
        <v>194</v>
      </c>
      <c r="J26" s="21" t="s">
        <v>199</v>
      </c>
      <c r="L26" s="21" t="s">
        <v>64</v>
      </c>
      <c r="N26" s="21" t="s">
        <v>200</v>
      </c>
      <c r="O26" s="21" t="s">
        <v>201</v>
      </c>
      <c r="P26" s="21" t="s">
        <v>67</v>
      </c>
    </row>
    <row r="27" spans="1:16" ht="36">
      <c r="A27" s="21">
        <v>31</v>
      </c>
      <c r="B27" s="21" t="s">
        <v>202</v>
      </c>
      <c r="C27" s="22" t="s">
        <v>203</v>
      </c>
      <c r="D27" s="21" t="s">
        <v>58</v>
      </c>
      <c r="E27" s="21" t="s">
        <v>59</v>
      </c>
      <c r="F27" s="21" t="s">
        <v>204</v>
      </c>
      <c r="G27" s="21" t="s">
        <v>205</v>
      </c>
      <c r="H27" s="21" t="s">
        <v>206</v>
      </c>
      <c r="I27" s="21" t="s">
        <v>194</v>
      </c>
      <c r="J27" s="21" t="s">
        <v>207</v>
      </c>
      <c r="L27" s="21" t="s">
        <v>64</v>
      </c>
      <c r="N27" s="21" t="s">
        <v>208</v>
      </c>
      <c r="O27" s="21" t="s">
        <v>209</v>
      </c>
      <c r="P27" s="21" t="s">
        <v>67</v>
      </c>
    </row>
    <row r="28" spans="1:16" ht="36">
      <c r="A28" s="21">
        <v>32</v>
      </c>
      <c r="B28" s="21" t="s">
        <v>210</v>
      </c>
      <c r="C28" s="22" t="s">
        <v>211</v>
      </c>
      <c r="D28" s="21" t="s">
        <v>58</v>
      </c>
      <c r="E28" s="21" t="s">
        <v>59</v>
      </c>
      <c r="F28" s="21" t="s">
        <v>212</v>
      </c>
      <c r="G28" s="21">
        <v>60</v>
      </c>
      <c r="I28" s="21" t="s">
        <v>194</v>
      </c>
      <c r="J28" s="21" t="s">
        <v>213</v>
      </c>
      <c r="L28" s="21" t="s">
        <v>64</v>
      </c>
      <c r="N28" s="21" t="s">
        <v>214</v>
      </c>
      <c r="O28" s="21" t="s">
        <v>215</v>
      </c>
      <c r="P28" s="21" t="s">
        <v>67</v>
      </c>
    </row>
    <row r="29" spans="1:16" ht="72">
      <c r="A29" s="21">
        <v>33</v>
      </c>
      <c r="B29" s="21" t="s">
        <v>216</v>
      </c>
      <c r="C29" s="22" t="s">
        <v>217</v>
      </c>
      <c r="D29" s="21" t="s">
        <v>58</v>
      </c>
      <c r="E29" s="21" t="s">
        <v>59</v>
      </c>
      <c r="F29" s="21" t="s">
        <v>218</v>
      </c>
      <c r="G29" s="21" t="s">
        <v>219</v>
      </c>
      <c r="I29" s="21" t="s">
        <v>194</v>
      </c>
      <c r="J29" s="21" t="s">
        <v>220</v>
      </c>
      <c r="L29" s="21" t="s">
        <v>64</v>
      </c>
      <c r="P29" s="21" t="s">
        <v>67</v>
      </c>
    </row>
    <row r="30" spans="1:16" ht="36">
      <c r="A30" s="21">
        <v>34</v>
      </c>
      <c r="B30" s="21" t="s">
        <v>221</v>
      </c>
      <c r="C30" s="22" t="s">
        <v>222</v>
      </c>
      <c r="D30" s="21" t="s">
        <v>58</v>
      </c>
      <c r="E30" s="21" t="s">
        <v>59</v>
      </c>
      <c r="F30" s="21" t="s">
        <v>223</v>
      </c>
      <c r="G30" s="21">
        <v>45.5</v>
      </c>
      <c r="I30" s="21" t="s">
        <v>194</v>
      </c>
      <c r="J30" s="21" t="s">
        <v>224</v>
      </c>
      <c r="L30" s="21" t="s">
        <v>64</v>
      </c>
      <c r="O30" s="21" t="s">
        <v>225</v>
      </c>
      <c r="P30" s="21" t="s">
        <v>163</v>
      </c>
    </row>
    <row r="31" spans="1:16" ht="96">
      <c r="A31" s="21">
        <v>35</v>
      </c>
      <c r="B31" s="21" t="s">
        <v>226</v>
      </c>
      <c r="C31" s="22" t="s">
        <v>227</v>
      </c>
      <c r="D31" s="21" t="s">
        <v>58</v>
      </c>
      <c r="E31" s="21" t="s">
        <v>59</v>
      </c>
      <c r="F31" s="21" t="s">
        <v>228</v>
      </c>
      <c r="G31" s="21">
        <v>10</v>
      </c>
      <c r="I31" s="21" t="s">
        <v>194</v>
      </c>
      <c r="J31" s="21" t="s">
        <v>229</v>
      </c>
      <c r="L31" s="21" t="s">
        <v>64</v>
      </c>
      <c r="N31" s="21" t="s">
        <v>230</v>
      </c>
      <c r="O31" s="21" t="s">
        <v>168</v>
      </c>
      <c r="P31" s="21" t="s">
        <v>163</v>
      </c>
    </row>
    <row r="32" spans="1:16" ht="36">
      <c r="A32" s="21">
        <v>36</v>
      </c>
      <c r="B32" s="21" t="s">
        <v>231</v>
      </c>
      <c r="C32" s="22" t="s">
        <v>232</v>
      </c>
      <c r="D32" s="21" t="s">
        <v>58</v>
      </c>
      <c r="E32" s="21" t="s">
        <v>59</v>
      </c>
      <c r="F32" s="21" t="s">
        <v>233</v>
      </c>
      <c r="G32" s="21">
        <v>25</v>
      </c>
      <c r="I32" s="21" t="s">
        <v>234</v>
      </c>
      <c r="J32" s="21" t="s">
        <v>235</v>
      </c>
      <c r="L32" s="21" t="s">
        <v>64</v>
      </c>
      <c r="O32" s="21" t="s">
        <v>236</v>
      </c>
      <c r="P32" s="21" t="s">
        <v>155</v>
      </c>
    </row>
    <row r="33" spans="1:16" ht="36">
      <c r="A33" s="21">
        <v>37</v>
      </c>
      <c r="B33" s="21" t="s">
        <v>237</v>
      </c>
      <c r="C33" s="22" t="s">
        <v>238</v>
      </c>
      <c r="D33" s="21" t="s">
        <v>58</v>
      </c>
      <c r="E33" s="21" t="s">
        <v>59</v>
      </c>
      <c r="F33" s="21" t="s">
        <v>239</v>
      </c>
      <c r="G33" s="21">
        <v>75</v>
      </c>
      <c r="I33" s="21" t="s">
        <v>234</v>
      </c>
      <c r="J33" s="21" t="s">
        <v>240</v>
      </c>
      <c r="L33" s="21" t="s">
        <v>64</v>
      </c>
      <c r="O33" s="21" t="s">
        <v>241</v>
      </c>
      <c r="P33" s="21" t="s">
        <v>155</v>
      </c>
    </row>
    <row r="34" spans="1:16" ht="24">
      <c r="A34" s="21">
        <v>38</v>
      </c>
      <c r="B34" s="21" t="s">
        <v>242</v>
      </c>
      <c r="C34" s="22" t="s">
        <v>243</v>
      </c>
      <c r="D34" s="21" t="s">
        <v>58</v>
      </c>
      <c r="E34" s="21" t="s">
        <v>59</v>
      </c>
      <c r="F34" s="21" t="s">
        <v>244</v>
      </c>
      <c r="G34" s="21">
        <v>10</v>
      </c>
      <c r="I34" s="21" t="s">
        <v>234</v>
      </c>
      <c r="J34" s="21" t="s">
        <v>245</v>
      </c>
      <c r="L34" s="21" t="s">
        <v>64</v>
      </c>
      <c r="O34" s="21" t="s">
        <v>246</v>
      </c>
      <c r="P34" s="21" t="s">
        <v>155</v>
      </c>
    </row>
    <row r="35" spans="1:16" ht="36">
      <c r="A35" s="21">
        <v>39</v>
      </c>
      <c r="B35" s="21" t="s">
        <v>247</v>
      </c>
      <c r="C35" s="22" t="s">
        <v>248</v>
      </c>
      <c r="D35" s="21" t="s">
        <v>58</v>
      </c>
      <c r="E35" s="21" t="s">
        <v>59</v>
      </c>
      <c r="F35" s="21" t="s">
        <v>249</v>
      </c>
      <c r="G35" s="21">
        <v>1</v>
      </c>
      <c r="I35" s="21" t="s">
        <v>234</v>
      </c>
      <c r="J35" s="21" t="s">
        <v>250</v>
      </c>
      <c r="L35" s="21" t="s">
        <v>64</v>
      </c>
      <c r="O35" s="21" t="s">
        <v>251</v>
      </c>
      <c r="P35" s="21" t="s">
        <v>155</v>
      </c>
    </row>
    <row r="36" spans="1:16" ht="48">
      <c r="A36" s="21">
        <v>40</v>
      </c>
      <c r="B36" s="21" t="s">
        <v>252</v>
      </c>
      <c r="C36" s="22" t="s">
        <v>253</v>
      </c>
      <c r="D36" s="21" t="s">
        <v>58</v>
      </c>
      <c r="E36" s="21" t="s">
        <v>59</v>
      </c>
      <c r="F36" s="21" t="s">
        <v>254</v>
      </c>
      <c r="G36" s="21">
        <v>10</v>
      </c>
      <c r="I36" s="21" t="s">
        <v>234</v>
      </c>
      <c r="J36" s="21" t="s">
        <v>255</v>
      </c>
      <c r="L36" s="21" t="s">
        <v>64</v>
      </c>
      <c r="O36" s="21" t="s">
        <v>256</v>
      </c>
      <c r="P36" s="21" t="s">
        <v>155</v>
      </c>
    </row>
    <row r="37" spans="1:16" ht="166.5">
      <c r="A37" s="21">
        <v>41</v>
      </c>
      <c r="B37" s="21" t="s">
        <v>257</v>
      </c>
      <c r="C37" s="22" t="s">
        <v>258</v>
      </c>
      <c r="D37" s="21" t="s">
        <v>58</v>
      </c>
      <c r="E37" s="21" t="s">
        <v>59</v>
      </c>
      <c r="F37" s="21" t="s">
        <v>259</v>
      </c>
      <c r="G37" s="21">
        <v>45.5</v>
      </c>
      <c r="H37" s="21" t="s">
        <v>260</v>
      </c>
      <c r="K37" s="21" t="b">
        <v>1</v>
      </c>
      <c r="L37" s="21" t="s">
        <v>64</v>
      </c>
      <c r="O37" s="21" t="s">
        <v>261</v>
      </c>
      <c r="P37" s="21" t="s">
        <v>163</v>
      </c>
    </row>
    <row r="38" spans="1:16" ht="24">
      <c r="A38" s="21">
        <v>42</v>
      </c>
      <c r="B38" s="21" t="s">
        <v>262</v>
      </c>
      <c r="C38" s="22" t="s">
        <v>263</v>
      </c>
      <c r="D38" s="21" t="s">
        <v>58</v>
      </c>
      <c r="E38" s="21" t="s">
        <v>59</v>
      </c>
      <c r="F38" s="21" t="s">
        <v>264</v>
      </c>
      <c r="G38" s="21" t="s">
        <v>265</v>
      </c>
      <c r="I38" s="21" t="s">
        <v>234</v>
      </c>
      <c r="J38" s="21" t="s">
        <v>266</v>
      </c>
      <c r="L38" s="21" t="s">
        <v>64</v>
      </c>
      <c r="O38" s="21" t="s">
        <v>267</v>
      </c>
      <c r="P38" s="21" t="s">
        <v>67</v>
      </c>
    </row>
    <row r="39" spans="1:16" ht="24">
      <c r="A39" s="21">
        <v>43</v>
      </c>
      <c r="B39" s="21" t="s">
        <v>268</v>
      </c>
      <c r="C39" s="22" t="s">
        <v>269</v>
      </c>
      <c r="D39" s="21" t="s">
        <v>58</v>
      </c>
      <c r="E39" s="21" t="s">
        <v>59</v>
      </c>
      <c r="F39" s="21" t="s">
        <v>270</v>
      </c>
      <c r="G39" s="21">
        <v>0</v>
      </c>
      <c r="I39" s="21" t="s">
        <v>234</v>
      </c>
      <c r="J39" s="21" t="s">
        <v>271</v>
      </c>
      <c r="L39" s="21" t="s">
        <v>64</v>
      </c>
      <c r="O39" s="21" t="s">
        <v>272</v>
      </c>
      <c r="P39" s="21" t="s">
        <v>67</v>
      </c>
    </row>
    <row r="40" spans="1:16" ht="24">
      <c r="A40" s="21">
        <v>44</v>
      </c>
      <c r="B40" s="21" t="s">
        <v>273</v>
      </c>
      <c r="C40" s="22" t="s">
        <v>274</v>
      </c>
      <c r="D40" s="21" t="s">
        <v>58</v>
      </c>
      <c r="E40" s="21" t="s">
        <v>59</v>
      </c>
      <c r="F40" s="21" t="s">
        <v>275</v>
      </c>
      <c r="G40" s="21" t="s">
        <v>123</v>
      </c>
      <c r="I40" s="21" t="s">
        <v>234</v>
      </c>
      <c r="J40" s="21" t="s">
        <v>276</v>
      </c>
      <c r="L40" s="21" t="s">
        <v>64</v>
      </c>
      <c r="M40" s="21" t="s">
        <v>277</v>
      </c>
      <c r="N40" s="21" t="s">
        <v>278</v>
      </c>
      <c r="O40" s="21" t="s">
        <v>279</v>
      </c>
      <c r="P40" s="21" t="s">
        <v>155</v>
      </c>
    </row>
    <row r="41" spans="1:16" ht="24">
      <c r="A41" s="21">
        <v>45</v>
      </c>
      <c r="B41" s="21" t="s">
        <v>280</v>
      </c>
      <c r="C41" s="22" t="s">
        <v>281</v>
      </c>
      <c r="D41" s="21" t="s">
        <v>58</v>
      </c>
      <c r="E41" s="21" t="s">
        <v>59</v>
      </c>
      <c r="F41" s="21" t="s">
        <v>282</v>
      </c>
      <c r="G41" s="21" t="s">
        <v>283</v>
      </c>
      <c r="I41" s="21" t="s">
        <v>234</v>
      </c>
      <c r="J41" s="21" t="s">
        <v>284</v>
      </c>
      <c r="L41" s="21" t="s">
        <v>64</v>
      </c>
      <c r="M41" s="21" t="s">
        <v>285</v>
      </c>
      <c r="O41" s="21" t="s">
        <v>286</v>
      </c>
      <c r="P41" s="21" t="s">
        <v>67</v>
      </c>
    </row>
    <row r="42" spans="1:16" ht="24">
      <c r="A42" s="21">
        <v>46</v>
      </c>
      <c r="B42" s="21" t="s">
        <v>287</v>
      </c>
      <c r="C42" s="22" t="s">
        <v>288</v>
      </c>
      <c r="D42" s="21" t="s">
        <v>58</v>
      </c>
      <c r="E42" s="21" t="s">
        <v>59</v>
      </c>
      <c r="F42" s="21" t="s">
        <v>289</v>
      </c>
      <c r="G42" s="21" t="s">
        <v>290</v>
      </c>
      <c r="I42" s="21" t="s">
        <v>234</v>
      </c>
      <c r="J42" s="21" t="s">
        <v>291</v>
      </c>
      <c r="L42" s="21" t="s">
        <v>64</v>
      </c>
      <c r="M42" s="21" t="s">
        <v>292</v>
      </c>
      <c r="O42" s="21" t="s">
        <v>293</v>
      </c>
      <c r="P42" s="21" t="s">
        <v>67</v>
      </c>
    </row>
    <row r="43" spans="1:16" ht="24">
      <c r="A43" s="21">
        <v>47</v>
      </c>
      <c r="B43" s="21" t="s">
        <v>294</v>
      </c>
      <c r="C43" s="22" t="s">
        <v>295</v>
      </c>
      <c r="D43" s="21" t="s">
        <v>58</v>
      </c>
      <c r="E43" s="21" t="s">
        <v>59</v>
      </c>
      <c r="F43" s="21" t="s">
        <v>296</v>
      </c>
      <c r="G43" s="21" t="s">
        <v>123</v>
      </c>
      <c r="I43" s="21" t="s">
        <v>234</v>
      </c>
      <c r="J43" s="21" t="s">
        <v>297</v>
      </c>
      <c r="L43" s="21" t="s">
        <v>64</v>
      </c>
      <c r="M43" s="21" t="s">
        <v>298</v>
      </c>
      <c r="O43" s="21" t="s">
        <v>299</v>
      </c>
      <c r="P43" s="21" t="s">
        <v>155</v>
      </c>
    </row>
    <row r="44" spans="1:16" ht="24">
      <c r="A44" s="21">
        <v>48</v>
      </c>
      <c r="B44" s="21" t="s">
        <v>300</v>
      </c>
      <c r="C44" s="22" t="s">
        <v>301</v>
      </c>
      <c r="D44" s="21" t="s">
        <v>58</v>
      </c>
      <c r="E44" s="21" t="s">
        <v>59</v>
      </c>
      <c r="F44" s="21" t="s">
        <v>302</v>
      </c>
      <c r="G44" s="21" t="s">
        <v>303</v>
      </c>
      <c r="I44" s="21" t="s">
        <v>234</v>
      </c>
      <c r="J44" s="21" t="s">
        <v>304</v>
      </c>
      <c r="L44" s="21" t="s">
        <v>64</v>
      </c>
      <c r="M44" s="21" t="s">
        <v>305</v>
      </c>
      <c r="O44" s="21" t="s">
        <v>306</v>
      </c>
      <c r="P44" s="21" t="s">
        <v>155</v>
      </c>
    </row>
    <row r="45" spans="1:16" ht="24">
      <c r="A45" s="21">
        <v>49</v>
      </c>
      <c r="B45" s="21" t="s">
        <v>307</v>
      </c>
      <c r="C45" s="22" t="s">
        <v>308</v>
      </c>
      <c r="D45" s="21" t="s">
        <v>58</v>
      </c>
      <c r="E45" s="21" t="s">
        <v>59</v>
      </c>
      <c r="F45" s="21" t="s">
        <v>309</v>
      </c>
      <c r="G45" s="21" t="s">
        <v>310</v>
      </c>
      <c r="I45" s="21" t="s">
        <v>234</v>
      </c>
      <c r="J45" s="21" t="s">
        <v>311</v>
      </c>
      <c r="L45" s="21" t="s">
        <v>64</v>
      </c>
      <c r="M45" s="21" t="s">
        <v>312</v>
      </c>
      <c r="O45" s="21" t="s">
        <v>313</v>
      </c>
      <c r="P45" s="21" t="s">
        <v>67</v>
      </c>
    </row>
    <row r="46" spans="1:16" ht="24">
      <c r="A46" s="21">
        <v>50</v>
      </c>
      <c r="B46" s="21" t="s">
        <v>314</v>
      </c>
      <c r="C46" s="22" t="s">
        <v>315</v>
      </c>
      <c r="D46" s="21" t="s">
        <v>58</v>
      </c>
      <c r="E46" s="21" t="s">
        <v>59</v>
      </c>
      <c r="F46" s="21" t="s">
        <v>316</v>
      </c>
      <c r="G46" s="21">
        <v>30</v>
      </c>
      <c r="I46" s="21" t="s">
        <v>234</v>
      </c>
      <c r="J46" s="21" t="s">
        <v>317</v>
      </c>
      <c r="L46" s="21" t="s">
        <v>64</v>
      </c>
      <c r="O46" s="21" t="s">
        <v>318</v>
      </c>
      <c r="P46" s="21" t="s">
        <v>67</v>
      </c>
    </row>
    <row r="47" spans="1:16">
      <c r="A47" s="21">
        <v>51</v>
      </c>
      <c r="B47" s="21" t="s">
        <v>319</v>
      </c>
      <c r="C47" s="22" t="s">
        <v>320</v>
      </c>
      <c r="D47" s="21" t="s">
        <v>58</v>
      </c>
      <c r="E47" s="21" t="s">
        <v>59</v>
      </c>
      <c r="F47" s="21" t="s">
        <v>321</v>
      </c>
      <c r="G47" s="21">
        <v>1</v>
      </c>
      <c r="I47" s="21" t="s">
        <v>234</v>
      </c>
      <c r="J47" s="21" t="s">
        <v>322</v>
      </c>
      <c r="L47" s="21" t="s">
        <v>64</v>
      </c>
      <c r="N47" s="21" t="s">
        <v>323</v>
      </c>
      <c r="O47" s="21" t="s">
        <v>272</v>
      </c>
      <c r="P47" s="21" t="s">
        <v>67</v>
      </c>
    </row>
    <row r="48" spans="1:16" ht="24">
      <c r="A48" s="21">
        <v>52</v>
      </c>
      <c r="B48" s="21" t="s">
        <v>324</v>
      </c>
      <c r="C48" s="22" t="s">
        <v>325</v>
      </c>
      <c r="D48" s="21" t="s">
        <v>58</v>
      </c>
      <c r="E48" s="21" t="s">
        <v>59</v>
      </c>
      <c r="F48" s="21" t="s">
        <v>326</v>
      </c>
      <c r="G48" s="21" t="s">
        <v>310</v>
      </c>
      <c r="I48" s="21" t="s">
        <v>234</v>
      </c>
      <c r="J48" s="21" t="s">
        <v>327</v>
      </c>
      <c r="L48" s="21" t="s">
        <v>64</v>
      </c>
      <c r="N48" s="21" t="s">
        <v>328</v>
      </c>
      <c r="O48" s="21" t="s">
        <v>329</v>
      </c>
      <c r="P48" s="21" t="s">
        <v>67</v>
      </c>
    </row>
    <row r="49" spans="1:16" ht="24">
      <c r="A49" s="21">
        <v>53</v>
      </c>
      <c r="B49" s="21" t="s">
        <v>330</v>
      </c>
      <c r="C49" s="22" t="s">
        <v>331</v>
      </c>
      <c r="D49" s="21" t="s">
        <v>58</v>
      </c>
      <c r="E49" s="21" t="s">
        <v>59</v>
      </c>
      <c r="F49" s="21" t="s">
        <v>332</v>
      </c>
      <c r="G49" s="21" t="s">
        <v>333</v>
      </c>
      <c r="I49" s="21" t="s">
        <v>234</v>
      </c>
      <c r="J49" s="21" t="s">
        <v>334</v>
      </c>
      <c r="L49" s="21" t="s">
        <v>64</v>
      </c>
      <c r="M49" s="21" t="s">
        <v>335</v>
      </c>
      <c r="O49" s="21" t="s">
        <v>336</v>
      </c>
      <c r="P49" s="21" t="s">
        <v>155</v>
      </c>
    </row>
    <row r="50" spans="1:16" ht="24">
      <c r="A50" s="21">
        <v>54</v>
      </c>
      <c r="B50" s="21" t="s">
        <v>337</v>
      </c>
      <c r="C50" s="22" t="s">
        <v>338</v>
      </c>
      <c r="D50" s="21" t="s">
        <v>58</v>
      </c>
      <c r="E50" s="21" t="s">
        <v>59</v>
      </c>
      <c r="F50" s="21" t="s">
        <v>339</v>
      </c>
      <c r="G50" s="21" t="s">
        <v>333</v>
      </c>
      <c r="I50" s="21" t="s">
        <v>234</v>
      </c>
      <c r="J50" s="21" t="s">
        <v>340</v>
      </c>
      <c r="L50" s="21" t="s">
        <v>64</v>
      </c>
      <c r="M50" s="21" t="s">
        <v>341</v>
      </c>
      <c r="O50" s="21" t="s">
        <v>342</v>
      </c>
      <c r="P50" s="21" t="s">
        <v>155</v>
      </c>
    </row>
    <row r="51" spans="1:16" ht="72">
      <c r="A51" s="21">
        <v>55</v>
      </c>
      <c r="B51" s="21" t="s">
        <v>343</v>
      </c>
      <c r="C51" s="22" t="s">
        <v>344</v>
      </c>
      <c r="D51" s="21" t="s">
        <v>58</v>
      </c>
      <c r="E51" s="21" t="s">
        <v>59</v>
      </c>
      <c r="F51" s="21" t="s">
        <v>345</v>
      </c>
      <c r="G51" s="21" t="s">
        <v>310</v>
      </c>
      <c r="I51" s="21" t="s">
        <v>62</v>
      </c>
      <c r="J51" s="21" t="s">
        <v>346</v>
      </c>
      <c r="L51" s="21" t="s">
        <v>64</v>
      </c>
      <c r="M51" s="21" t="s">
        <v>347</v>
      </c>
      <c r="N51" s="21" t="s">
        <v>348</v>
      </c>
      <c r="O51" s="21" t="s">
        <v>349</v>
      </c>
      <c r="P51" s="21" t="s">
        <v>67</v>
      </c>
    </row>
    <row r="52" spans="1:16" ht="24">
      <c r="A52" s="21">
        <v>56</v>
      </c>
      <c r="B52" s="21" t="s">
        <v>350</v>
      </c>
      <c r="C52" s="22" t="s">
        <v>351</v>
      </c>
      <c r="D52" s="21" t="s">
        <v>58</v>
      </c>
      <c r="E52" s="21" t="s">
        <v>59</v>
      </c>
      <c r="F52" s="21" t="s">
        <v>352</v>
      </c>
      <c r="G52" s="21" t="s">
        <v>353</v>
      </c>
      <c r="I52" s="21" t="s">
        <v>234</v>
      </c>
      <c r="J52" s="21" t="s">
        <v>354</v>
      </c>
      <c r="L52" s="21" t="s">
        <v>64</v>
      </c>
      <c r="M52" s="21" t="s">
        <v>355</v>
      </c>
      <c r="N52" s="21" t="s">
        <v>356</v>
      </c>
      <c r="O52" s="21" t="s">
        <v>357</v>
      </c>
      <c r="P52" s="21" t="s">
        <v>155</v>
      </c>
    </row>
    <row r="53" spans="1:16" ht="60">
      <c r="A53" s="21">
        <v>57</v>
      </c>
      <c r="B53" s="21" t="s">
        <v>358</v>
      </c>
      <c r="C53" s="22" t="s">
        <v>359</v>
      </c>
      <c r="D53" s="21" t="s">
        <v>58</v>
      </c>
      <c r="E53" s="21" t="s">
        <v>59</v>
      </c>
      <c r="F53" s="21" t="s">
        <v>360</v>
      </c>
      <c r="G53" s="21" t="s">
        <v>361</v>
      </c>
      <c r="I53" s="21" t="s">
        <v>62</v>
      </c>
      <c r="J53" s="21" t="s">
        <v>362</v>
      </c>
      <c r="L53" s="21" t="s">
        <v>64</v>
      </c>
      <c r="N53" s="21" t="s">
        <v>363</v>
      </c>
      <c r="P53" s="21" t="s">
        <v>155</v>
      </c>
    </row>
    <row r="54" spans="1:16" ht="36">
      <c r="A54" s="21">
        <v>58</v>
      </c>
      <c r="B54" s="21" t="s">
        <v>364</v>
      </c>
      <c r="C54" s="22" t="s">
        <v>365</v>
      </c>
      <c r="D54" s="21" t="s">
        <v>58</v>
      </c>
      <c r="E54" s="21" t="s">
        <v>59</v>
      </c>
      <c r="F54" s="21" t="s">
        <v>366</v>
      </c>
      <c r="G54" s="21" t="s">
        <v>367</v>
      </c>
      <c r="I54" s="21" t="s">
        <v>194</v>
      </c>
      <c r="J54" s="21" t="s">
        <v>368</v>
      </c>
      <c r="L54" s="21" t="s">
        <v>64</v>
      </c>
      <c r="N54" s="21" t="s">
        <v>369</v>
      </c>
      <c r="O54" s="21" t="s">
        <v>370</v>
      </c>
      <c r="P54" s="21" t="s">
        <v>155</v>
      </c>
    </row>
    <row r="55" spans="1:16" ht="60">
      <c r="A55" s="21">
        <v>59</v>
      </c>
      <c r="B55" s="21" t="s">
        <v>371</v>
      </c>
      <c r="C55" s="22" t="s">
        <v>372</v>
      </c>
      <c r="D55" s="21" t="s">
        <v>58</v>
      </c>
      <c r="E55" s="21" t="s">
        <v>59</v>
      </c>
      <c r="F55" s="21" t="s">
        <v>373</v>
      </c>
      <c r="G55" s="21">
        <v>10.08</v>
      </c>
      <c r="I55" s="21" t="s">
        <v>194</v>
      </c>
      <c r="J55" s="21" t="s">
        <v>374</v>
      </c>
      <c r="L55" s="21" t="s">
        <v>64</v>
      </c>
      <c r="O55" s="21" t="s">
        <v>375</v>
      </c>
      <c r="P55" s="21" t="s">
        <v>155</v>
      </c>
    </row>
    <row r="56" spans="1:16" ht="60">
      <c r="A56" s="21">
        <v>60</v>
      </c>
      <c r="B56" s="21" t="s">
        <v>169</v>
      </c>
      <c r="C56" s="22" t="s">
        <v>376</v>
      </c>
      <c r="D56" s="21" t="s">
        <v>58</v>
      </c>
      <c r="E56" s="21" t="s">
        <v>59</v>
      </c>
      <c r="F56" s="21" t="s">
        <v>377</v>
      </c>
      <c r="G56" s="21">
        <v>10.050000000000001</v>
      </c>
      <c r="I56" s="21" t="s">
        <v>194</v>
      </c>
      <c r="J56" s="21" t="s">
        <v>378</v>
      </c>
      <c r="L56" s="21" t="s">
        <v>64</v>
      </c>
      <c r="O56" s="21" t="s">
        <v>379</v>
      </c>
      <c r="P56" s="21" t="s">
        <v>155</v>
      </c>
    </row>
    <row r="57" spans="1:16" ht="48">
      <c r="A57" s="21">
        <v>61</v>
      </c>
      <c r="B57" s="21" t="s">
        <v>380</v>
      </c>
      <c r="C57" s="22" t="s">
        <v>57</v>
      </c>
      <c r="D57" s="21" t="s">
        <v>58</v>
      </c>
      <c r="E57" s="21" t="s">
        <v>381</v>
      </c>
      <c r="F57" s="21" t="s">
        <v>60</v>
      </c>
      <c r="G57" s="21" t="s">
        <v>382</v>
      </c>
      <c r="I57" s="21" t="s">
        <v>62</v>
      </c>
      <c r="J57" s="21" t="s">
        <v>63</v>
      </c>
      <c r="L57" s="21" t="s">
        <v>383</v>
      </c>
      <c r="N57" s="21" t="s">
        <v>384</v>
      </c>
      <c r="O57" s="21" t="s">
        <v>385</v>
      </c>
      <c r="P57" s="21" t="s">
        <v>67</v>
      </c>
    </row>
    <row r="58" spans="1:16" ht="60">
      <c r="A58" s="21">
        <v>62</v>
      </c>
      <c r="B58" s="21" t="s">
        <v>386</v>
      </c>
      <c r="C58" s="22" t="s">
        <v>387</v>
      </c>
      <c r="D58" s="21" t="s">
        <v>58</v>
      </c>
      <c r="E58" s="21" t="s">
        <v>381</v>
      </c>
      <c r="F58" s="21" t="s">
        <v>388</v>
      </c>
      <c r="G58" s="21" t="s">
        <v>389</v>
      </c>
      <c r="I58" s="21" t="s">
        <v>62</v>
      </c>
      <c r="J58" s="21" t="s">
        <v>390</v>
      </c>
      <c r="L58" s="21" t="s">
        <v>383</v>
      </c>
      <c r="M58" s="21" t="s">
        <v>391</v>
      </c>
      <c r="P58" s="21" t="s">
        <v>67</v>
      </c>
    </row>
    <row r="59" spans="1:16" ht="84">
      <c r="A59" s="21">
        <v>63</v>
      </c>
      <c r="B59" s="21" t="s">
        <v>392</v>
      </c>
      <c r="C59" s="22" t="s">
        <v>393</v>
      </c>
      <c r="D59" s="21" t="s">
        <v>58</v>
      </c>
      <c r="E59" s="21" t="s">
        <v>381</v>
      </c>
      <c r="F59" s="21" t="s">
        <v>70</v>
      </c>
      <c r="G59" s="21" t="s">
        <v>394</v>
      </c>
      <c r="I59" s="21" t="s">
        <v>62</v>
      </c>
      <c r="J59" s="21" t="s">
        <v>395</v>
      </c>
      <c r="L59" s="21" t="s">
        <v>383</v>
      </c>
      <c r="N59" s="21" t="s">
        <v>396</v>
      </c>
      <c r="O59" s="21" t="s">
        <v>397</v>
      </c>
      <c r="P59" s="21" t="s">
        <v>67</v>
      </c>
    </row>
    <row r="60" spans="1:16" ht="48">
      <c r="A60" s="21">
        <v>64</v>
      </c>
      <c r="B60" s="21" t="s">
        <v>398</v>
      </c>
      <c r="C60" s="22" t="s">
        <v>399</v>
      </c>
      <c r="D60" s="21" t="s">
        <v>58</v>
      </c>
      <c r="E60" s="21" t="s">
        <v>381</v>
      </c>
      <c r="F60" s="21" t="s">
        <v>400</v>
      </c>
      <c r="I60" s="21" t="s">
        <v>62</v>
      </c>
      <c r="J60" s="21" t="s">
        <v>72</v>
      </c>
      <c r="L60" s="21" t="s">
        <v>383</v>
      </c>
      <c r="N60" s="21" t="s">
        <v>401</v>
      </c>
      <c r="P60" s="21" t="s">
        <v>67</v>
      </c>
    </row>
    <row r="61" spans="1:16" ht="130.5">
      <c r="A61" s="21">
        <v>65</v>
      </c>
      <c r="B61" s="21" t="s">
        <v>73</v>
      </c>
      <c r="C61" s="22" t="s">
        <v>74</v>
      </c>
      <c r="D61" s="21" t="s">
        <v>58</v>
      </c>
      <c r="E61" s="21" t="s">
        <v>381</v>
      </c>
      <c r="F61" s="21" t="s">
        <v>75</v>
      </c>
      <c r="G61" s="21" t="s">
        <v>402</v>
      </c>
      <c r="I61" s="21" t="s">
        <v>62</v>
      </c>
      <c r="J61" s="21" t="s">
        <v>77</v>
      </c>
      <c r="L61" s="21" t="s">
        <v>383</v>
      </c>
      <c r="M61" s="21" t="s">
        <v>78</v>
      </c>
      <c r="N61" s="21" t="s">
        <v>403</v>
      </c>
      <c r="O61" s="21" t="s">
        <v>404</v>
      </c>
      <c r="P61" s="21" t="s">
        <v>67</v>
      </c>
    </row>
    <row r="62" spans="1:16" ht="60">
      <c r="A62" s="21">
        <v>66</v>
      </c>
      <c r="B62" s="21" t="s">
        <v>80</v>
      </c>
      <c r="C62" s="22" t="s">
        <v>405</v>
      </c>
      <c r="D62" s="21" t="s">
        <v>58</v>
      </c>
      <c r="E62" s="21" t="s">
        <v>381</v>
      </c>
      <c r="F62" s="21" t="s">
        <v>81</v>
      </c>
      <c r="G62" s="21" t="s">
        <v>406</v>
      </c>
      <c r="I62" s="21" t="s">
        <v>62</v>
      </c>
      <c r="J62" s="21" t="s">
        <v>407</v>
      </c>
      <c r="L62" s="21" t="s">
        <v>383</v>
      </c>
      <c r="P62" s="21" t="s">
        <v>67</v>
      </c>
    </row>
    <row r="63" spans="1:16" ht="36">
      <c r="A63" s="21">
        <v>67</v>
      </c>
      <c r="B63" s="21" t="s">
        <v>83</v>
      </c>
      <c r="C63" s="22" t="s">
        <v>84</v>
      </c>
      <c r="D63" s="21" t="s">
        <v>58</v>
      </c>
      <c r="E63" s="21" t="s">
        <v>381</v>
      </c>
      <c r="F63" s="21" t="s">
        <v>85</v>
      </c>
      <c r="G63" s="21" t="s">
        <v>408</v>
      </c>
      <c r="I63" s="21" t="s">
        <v>62</v>
      </c>
      <c r="J63" s="21" t="s">
        <v>87</v>
      </c>
      <c r="L63" s="21" t="s">
        <v>383</v>
      </c>
      <c r="N63" s="21" t="s">
        <v>409</v>
      </c>
      <c r="O63" s="21" t="s">
        <v>410</v>
      </c>
      <c r="P63" s="21" t="s">
        <v>67</v>
      </c>
    </row>
    <row r="64" spans="1:16" ht="72">
      <c r="A64" s="21">
        <v>68</v>
      </c>
      <c r="B64" s="21" t="s">
        <v>88</v>
      </c>
      <c r="C64" s="22" t="s">
        <v>89</v>
      </c>
      <c r="D64" s="21" t="s">
        <v>58</v>
      </c>
      <c r="E64" s="21" t="s">
        <v>381</v>
      </c>
      <c r="F64" s="21" t="s">
        <v>90</v>
      </c>
      <c r="G64" s="21" t="s">
        <v>411</v>
      </c>
      <c r="I64" s="21" t="s">
        <v>62</v>
      </c>
      <c r="J64" s="21" t="s">
        <v>91</v>
      </c>
      <c r="L64" s="21" t="s">
        <v>383</v>
      </c>
      <c r="N64" s="21" t="s">
        <v>412</v>
      </c>
      <c r="O64" s="21" t="s">
        <v>413</v>
      </c>
      <c r="P64" s="21" t="s">
        <v>67</v>
      </c>
    </row>
    <row r="65" spans="1:16" ht="96">
      <c r="A65" s="21">
        <v>69</v>
      </c>
      <c r="B65" s="21" t="s">
        <v>92</v>
      </c>
      <c r="C65" s="22" t="s">
        <v>93</v>
      </c>
      <c r="D65" s="21" t="s">
        <v>58</v>
      </c>
      <c r="E65" s="21" t="s">
        <v>381</v>
      </c>
      <c r="F65" s="21" t="s">
        <v>94</v>
      </c>
      <c r="G65" s="21" t="s">
        <v>361</v>
      </c>
      <c r="I65" s="21" t="s">
        <v>62</v>
      </c>
      <c r="J65" s="21" t="s">
        <v>95</v>
      </c>
      <c r="L65" s="21" t="s">
        <v>383</v>
      </c>
      <c r="N65" s="21" t="s">
        <v>414</v>
      </c>
      <c r="P65" s="21" t="s">
        <v>67</v>
      </c>
    </row>
    <row r="66" spans="1:16" ht="60">
      <c r="A66" s="21">
        <v>70</v>
      </c>
      <c r="B66" s="21" t="s">
        <v>358</v>
      </c>
      <c r="C66" s="22" t="s">
        <v>359</v>
      </c>
      <c r="D66" s="21" t="s">
        <v>58</v>
      </c>
      <c r="E66" s="21" t="s">
        <v>381</v>
      </c>
      <c r="F66" s="21" t="s">
        <v>360</v>
      </c>
      <c r="G66" s="21" t="s">
        <v>361</v>
      </c>
      <c r="I66" s="21" t="s">
        <v>62</v>
      </c>
      <c r="J66" s="21" t="s">
        <v>362</v>
      </c>
      <c r="L66" s="21" t="s">
        <v>383</v>
      </c>
      <c r="N66" s="21" t="s">
        <v>415</v>
      </c>
      <c r="P66" s="21" t="s">
        <v>155</v>
      </c>
    </row>
    <row r="67" spans="1:16" ht="107.25">
      <c r="A67" s="21">
        <v>71</v>
      </c>
      <c r="B67" s="21" t="s">
        <v>97</v>
      </c>
      <c r="C67" s="22" t="s">
        <v>416</v>
      </c>
      <c r="D67" s="21" t="s">
        <v>58</v>
      </c>
      <c r="E67" s="21" t="s">
        <v>381</v>
      </c>
      <c r="F67" s="21" t="s">
        <v>417</v>
      </c>
      <c r="I67" s="21" t="s">
        <v>62</v>
      </c>
      <c r="J67" s="21" t="s">
        <v>101</v>
      </c>
      <c r="L67" s="21" t="s">
        <v>383</v>
      </c>
      <c r="M67" s="21" t="s">
        <v>418</v>
      </c>
      <c r="P67" s="21" t="s">
        <v>67</v>
      </c>
    </row>
    <row r="68" spans="1:16" ht="24">
      <c r="A68" s="21">
        <v>72</v>
      </c>
      <c r="B68" s="21" t="s">
        <v>419</v>
      </c>
      <c r="C68" s="22" t="s">
        <v>420</v>
      </c>
      <c r="D68" s="21" t="s">
        <v>58</v>
      </c>
      <c r="E68" s="21" t="s">
        <v>381</v>
      </c>
      <c r="F68" s="21" t="s">
        <v>99</v>
      </c>
      <c r="G68" s="21" t="s">
        <v>421</v>
      </c>
      <c r="I68" s="21" t="s">
        <v>62</v>
      </c>
      <c r="J68" s="21" t="s">
        <v>422</v>
      </c>
      <c r="L68" s="21" t="s">
        <v>383</v>
      </c>
      <c r="P68" s="21" t="s">
        <v>67</v>
      </c>
    </row>
    <row r="69" spans="1:16" ht="202.5">
      <c r="A69" s="21">
        <v>73</v>
      </c>
      <c r="B69" s="21" t="s">
        <v>423</v>
      </c>
      <c r="C69" s="22" t="s">
        <v>424</v>
      </c>
      <c r="D69" s="21" t="s">
        <v>58</v>
      </c>
      <c r="E69" s="21" t="s">
        <v>381</v>
      </c>
      <c r="F69" s="21" t="s">
        <v>112</v>
      </c>
      <c r="G69" s="21" t="s">
        <v>106</v>
      </c>
      <c r="H69" s="21" t="s">
        <v>425</v>
      </c>
      <c r="I69" s="21" t="s">
        <v>62</v>
      </c>
      <c r="J69" s="21" t="s">
        <v>426</v>
      </c>
      <c r="L69" s="21" t="s">
        <v>383</v>
      </c>
      <c r="N69" s="21" t="s">
        <v>427</v>
      </c>
      <c r="O69" s="21" t="s">
        <v>428</v>
      </c>
      <c r="P69" s="21" t="s">
        <v>67</v>
      </c>
    </row>
    <row r="70" spans="1:16" ht="118.5">
      <c r="A70" s="21">
        <v>74</v>
      </c>
      <c r="B70" s="21" t="s">
        <v>429</v>
      </c>
      <c r="C70" s="22" t="s">
        <v>430</v>
      </c>
      <c r="D70" s="21" t="s">
        <v>58</v>
      </c>
      <c r="E70" s="21" t="s">
        <v>431</v>
      </c>
      <c r="F70" s="21" t="s">
        <v>432</v>
      </c>
      <c r="G70" s="21" t="s">
        <v>433</v>
      </c>
      <c r="I70" s="21" t="s">
        <v>62</v>
      </c>
      <c r="J70" s="21" t="s">
        <v>434</v>
      </c>
      <c r="L70" s="21" t="s">
        <v>383</v>
      </c>
      <c r="O70" s="21" t="s">
        <v>435</v>
      </c>
      <c r="P70" s="21" t="s">
        <v>67</v>
      </c>
    </row>
    <row r="71" spans="1:16">
      <c r="A71" s="21">
        <v>75</v>
      </c>
      <c r="B71" s="21" t="s">
        <v>436</v>
      </c>
      <c r="C71" s="22" t="s">
        <v>436</v>
      </c>
      <c r="D71" s="21" t="s">
        <v>58</v>
      </c>
      <c r="E71" s="21" t="s">
        <v>437</v>
      </c>
      <c r="F71" s="21" t="s">
        <v>438</v>
      </c>
      <c r="I71" s="21" t="s">
        <v>62</v>
      </c>
      <c r="J71" s="21" t="s">
        <v>439</v>
      </c>
      <c r="L71" s="21" t="s">
        <v>383</v>
      </c>
      <c r="P71" s="21" t="s">
        <v>67</v>
      </c>
    </row>
    <row r="72" spans="1:16" ht="154.5">
      <c r="A72" s="21">
        <v>76</v>
      </c>
      <c r="B72" s="21" t="s">
        <v>440</v>
      </c>
      <c r="C72" s="22" t="s">
        <v>441</v>
      </c>
      <c r="D72" s="21" t="s">
        <v>58</v>
      </c>
      <c r="E72" s="21" t="s">
        <v>381</v>
      </c>
      <c r="F72" s="21" t="s">
        <v>442</v>
      </c>
      <c r="G72" s="21" t="s">
        <v>283</v>
      </c>
      <c r="I72" s="21" t="s">
        <v>62</v>
      </c>
      <c r="J72" s="21" t="s">
        <v>443</v>
      </c>
      <c r="L72" s="21" t="s">
        <v>444</v>
      </c>
      <c r="M72" s="21" t="s">
        <v>445</v>
      </c>
      <c r="N72" s="21" t="s">
        <v>446</v>
      </c>
      <c r="O72" s="21" t="s">
        <v>447</v>
      </c>
      <c r="P72" s="21" t="s">
        <v>448</v>
      </c>
    </row>
    <row r="73" spans="1:16" ht="36">
      <c r="A73" s="21">
        <v>77</v>
      </c>
      <c r="B73" s="21" t="s">
        <v>449</v>
      </c>
      <c r="C73" s="22" t="s">
        <v>450</v>
      </c>
      <c r="D73" s="21" t="s">
        <v>58</v>
      </c>
      <c r="E73" s="21" t="s">
        <v>451</v>
      </c>
      <c r="F73" s="21" t="s">
        <v>452</v>
      </c>
      <c r="G73" s="21">
        <v>11.5</v>
      </c>
      <c r="I73" s="21" t="s">
        <v>62</v>
      </c>
      <c r="J73" s="21" t="s">
        <v>453</v>
      </c>
      <c r="L73" s="21" t="s">
        <v>444</v>
      </c>
      <c r="N73" s="21" t="s">
        <v>454</v>
      </c>
      <c r="O73" s="21" t="s">
        <v>455</v>
      </c>
      <c r="P73" s="21" t="s">
        <v>163</v>
      </c>
    </row>
    <row r="74" spans="1:16" ht="60">
      <c r="A74" s="21">
        <v>78</v>
      </c>
      <c r="B74" s="21" t="s">
        <v>456</v>
      </c>
      <c r="C74" s="22" t="s">
        <v>457</v>
      </c>
      <c r="D74" s="21" t="s">
        <v>58</v>
      </c>
      <c r="E74" s="21" t="s">
        <v>458</v>
      </c>
      <c r="F74" s="21" t="s">
        <v>459</v>
      </c>
      <c r="G74" s="21">
        <v>17.850000000000001</v>
      </c>
      <c r="I74" s="21" t="s">
        <v>62</v>
      </c>
      <c r="J74" s="21" t="s">
        <v>460</v>
      </c>
      <c r="L74" s="21" t="s">
        <v>383</v>
      </c>
      <c r="N74" s="21" t="s">
        <v>461</v>
      </c>
      <c r="O74" s="21" t="s">
        <v>462</v>
      </c>
      <c r="P74" s="21" t="s">
        <v>163</v>
      </c>
    </row>
    <row r="75" spans="1:16" ht="36">
      <c r="A75" s="21">
        <v>79</v>
      </c>
      <c r="B75" s="21" t="s">
        <v>463</v>
      </c>
      <c r="C75" s="22" t="s">
        <v>464</v>
      </c>
      <c r="D75" s="21" t="s">
        <v>58</v>
      </c>
      <c r="E75" s="21" t="s">
        <v>381</v>
      </c>
      <c r="F75" s="21" t="s">
        <v>465</v>
      </c>
      <c r="G75" s="21" t="s">
        <v>466</v>
      </c>
      <c r="I75" s="21" t="s">
        <v>467</v>
      </c>
      <c r="J75" s="21" t="s">
        <v>468</v>
      </c>
      <c r="L75" s="21" t="s">
        <v>469</v>
      </c>
      <c r="M75" s="21" t="s">
        <v>470</v>
      </c>
      <c r="O75" s="21" t="s">
        <v>471</v>
      </c>
      <c r="P75" s="21" t="s">
        <v>67</v>
      </c>
    </row>
    <row r="76" spans="1:16" ht="36">
      <c r="A76" s="21">
        <v>80</v>
      </c>
      <c r="B76" s="21" t="s">
        <v>472</v>
      </c>
      <c r="C76" s="22" t="s">
        <v>473</v>
      </c>
      <c r="D76" s="21" t="s">
        <v>58</v>
      </c>
      <c r="E76" s="21" t="s">
        <v>474</v>
      </c>
      <c r="F76" s="21" t="s">
        <v>475</v>
      </c>
      <c r="G76" s="21" t="s">
        <v>283</v>
      </c>
      <c r="I76" s="21" t="s">
        <v>476</v>
      </c>
      <c r="J76" s="21" t="s">
        <v>477</v>
      </c>
      <c r="L76" s="21" t="s">
        <v>469</v>
      </c>
      <c r="M76" s="21" t="s">
        <v>478</v>
      </c>
      <c r="N76" s="21" t="s">
        <v>479</v>
      </c>
      <c r="P76" s="21" t="s">
        <v>155</v>
      </c>
    </row>
    <row r="77" spans="1:16" ht="130.5">
      <c r="A77" s="21">
        <v>81</v>
      </c>
      <c r="B77" s="21" t="s">
        <v>480</v>
      </c>
      <c r="C77" s="22" t="s">
        <v>481</v>
      </c>
      <c r="D77" s="21" t="s">
        <v>58</v>
      </c>
      <c r="E77" s="21" t="s">
        <v>482</v>
      </c>
      <c r="F77" s="21" t="s">
        <v>483</v>
      </c>
      <c r="G77" s="21">
        <v>14.14</v>
      </c>
      <c r="K77" s="21" t="b">
        <v>1</v>
      </c>
      <c r="L77" s="21" t="s">
        <v>444</v>
      </c>
      <c r="N77" s="21" t="s">
        <v>484</v>
      </c>
      <c r="O77" s="21" t="s">
        <v>485</v>
      </c>
      <c r="P77" s="21" t="s">
        <v>155</v>
      </c>
    </row>
    <row r="78" spans="1:16" ht="118.5">
      <c r="A78" s="21">
        <v>82</v>
      </c>
      <c r="B78" s="21" t="s">
        <v>486</v>
      </c>
      <c r="C78" s="22" t="s">
        <v>487</v>
      </c>
      <c r="D78" s="21" t="s">
        <v>58</v>
      </c>
      <c r="E78" s="21" t="s">
        <v>482</v>
      </c>
      <c r="F78" s="21" t="s">
        <v>488</v>
      </c>
      <c r="G78" s="21">
        <v>12342.14</v>
      </c>
      <c r="K78" s="21" t="b">
        <v>1</v>
      </c>
      <c r="L78" s="21" t="s">
        <v>444</v>
      </c>
      <c r="N78" s="21" t="s">
        <v>489</v>
      </c>
      <c r="O78" s="21" t="s">
        <v>490</v>
      </c>
      <c r="P78" s="21" t="s">
        <v>155</v>
      </c>
    </row>
    <row r="79" spans="1:16" ht="72">
      <c r="A79" s="21">
        <v>83</v>
      </c>
      <c r="B79" s="21" t="s">
        <v>149</v>
      </c>
      <c r="C79" s="22" t="s">
        <v>150</v>
      </c>
      <c r="D79" s="21" t="s">
        <v>58</v>
      </c>
      <c r="E79" s="21" t="s">
        <v>431</v>
      </c>
      <c r="F79" s="21" t="s">
        <v>151</v>
      </c>
      <c r="G79" s="21" t="s">
        <v>491</v>
      </c>
      <c r="I79" s="21" t="s">
        <v>153</v>
      </c>
      <c r="J79" s="21" t="s">
        <v>154</v>
      </c>
      <c r="L79" s="21" t="s">
        <v>444</v>
      </c>
      <c r="O79" s="21" t="s">
        <v>492</v>
      </c>
      <c r="P79" s="21" t="s">
        <v>155</v>
      </c>
    </row>
    <row r="80" spans="1:16" ht="36">
      <c r="A80" s="21">
        <v>84</v>
      </c>
      <c r="B80" s="21" t="s">
        <v>493</v>
      </c>
      <c r="C80" s="22" t="s">
        <v>494</v>
      </c>
      <c r="D80" s="21" t="s">
        <v>58</v>
      </c>
      <c r="E80" s="21" t="s">
        <v>381</v>
      </c>
      <c r="F80" s="21" t="s">
        <v>495</v>
      </c>
      <c r="G80" s="21">
        <v>3.5</v>
      </c>
      <c r="I80" s="21" t="s">
        <v>62</v>
      </c>
      <c r="J80" s="21" t="s">
        <v>496</v>
      </c>
      <c r="L80" s="21" t="s">
        <v>497</v>
      </c>
      <c r="N80" s="21" t="s">
        <v>498</v>
      </c>
      <c r="O80" s="21" t="s">
        <v>499</v>
      </c>
      <c r="P80" s="21" t="s">
        <v>163</v>
      </c>
    </row>
    <row r="81" spans="1:16" ht="118.5">
      <c r="A81" s="21">
        <v>85</v>
      </c>
      <c r="B81" s="21" t="s">
        <v>500</v>
      </c>
      <c r="C81" s="22" t="s">
        <v>501</v>
      </c>
      <c r="D81" s="21" t="s">
        <v>58</v>
      </c>
      <c r="E81" s="21" t="s">
        <v>431</v>
      </c>
      <c r="F81" s="21" t="s">
        <v>502</v>
      </c>
      <c r="G81" s="21" t="s">
        <v>106</v>
      </c>
      <c r="I81" s="21" t="s">
        <v>62</v>
      </c>
      <c r="J81" s="21" t="s">
        <v>503</v>
      </c>
      <c r="L81" s="21" t="s">
        <v>444</v>
      </c>
      <c r="N81" s="21" t="s">
        <v>504</v>
      </c>
      <c r="O81" s="21" t="s">
        <v>505</v>
      </c>
      <c r="P81" s="21" t="s">
        <v>67</v>
      </c>
    </row>
    <row r="82" spans="1:16" ht="118.5">
      <c r="A82" s="21">
        <v>86</v>
      </c>
      <c r="B82" s="21" t="s">
        <v>506</v>
      </c>
      <c r="C82" s="22" t="s">
        <v>507</v>
      </c>
      <c r="D82" s="21" t="s">
        <v>58</v>
      </c>
      <c r="E82" s="21" t="s">
        <v>431</v>
      </c>
      <c r="F82" s="21" t="s">
        <v>508</v>
      </c>
      <c r="G82" s="21" t="s">
        <v>106</v>
      </c>
      <c r="I82" s="21" t="s">
        <v>62</v>
      </c>
      <c r="J82" s="21" t="s">
        <v>509</v>
      </c>
      <c r="L82" s="21" t="s">
        <v>444</v>
      </c>
      <c r="N82" s="21" t="s">
        <v>510</v>
      </c>
      <c r="O82" s="21" t="s">
        <v>511</v>
      </c>
      <c r="P82" s="21" t="s">
        <v>67</v>
      </c>
    </row>
    <row r="83" spans="1:16" ht="96">
      <c r="A83" s="21">
        <v>87</v>
      </c>
      <c r="B83" s="21" t="s">
        <v>512</v>
      </c>
      <c r="C83" s="22" t="s">
        <v>513</v>
      </c>
      <c r="D83" s="21" t="s">
        <v>58</v>
      </c>
      <c r="E83" s="21" t="s">
        <v>381</v>
      </c>
      <c r="F83" s="21" t="s">
        <v>514</v>
      </c>
      <c r="G83" s="21" t="s">
        <v>515</v>
      </c>
      <c r="H83" s="21" t="s">
        <v>516</v>
      </c>
      <c r="I83" s="21" t="s">
        <v>517</v>
      </c>
      <c r="J83" s="21" t="s">
        <v>518</v>
      </c>
      <c r="L83" s="21" t="s">
        <v>383</v>
      </c>
      <c r="N83" s="21" t="s">
        <v>519</v>
      </c>
      <c r="O83" s="21" t="s">
        <v>520</v>
      </c>
      <c r="P83" s="21" t="s">
        <v>67</v>
      </c>
    </row>
    <row r="84" spans="1:16" ht="48">
      <c r="A84" s="21">
        <v>88</v>
      </c>
      <c r="B84" s="21" t="s">
        <v>521</v>
      </c>
      <c r="C84" s="22" t="s">
        <v>522</v>
      </c>
      <c r="D84" s="21" t="s">
        <v>58</v>
      </c>
      <c r="E84" s="21" t="s">
        <v>381</v>
      </c>
      <c r="F84" s="21" t="s">
        <v>523</v>
      </c>
      <c r="G84" s="21" t="s">
        <v>524</v>
      </c>
      <c r="I84" s="21" t="s">
        <v>517</v>
      </c>
      <c r="J84" s="21" t="s">
        <v>525</v>
      </c>
      <c r="L84" s="21" t="s">
        <v>383</v>
      </c>
      <c r="N84" s="21" t="s">
        <v>526</v>
      </c>
      <c r="O84" s="21" t="s">
        <v>527</v>
      </c>
      <c r="P84" s="21" t="s">
        <v>67</v>
      </c>
    </row>
    <row r="85" spans="1:16" ht="36">
      <c r="A85" s="21">
        <v>89</v>
      </c>
      <c r="B85" s="21" t="s">
        <v>528</v>
      </c>
      <c r="C85" s="22" t="s">
        <v>529</v>
      </c>
      <c r="D85" s="21" t="s">
        <v>58</v>
      </c>
      <c r="E85" s="21" t="s">
        <v>431</v>
      </c>
      <c r="F85" s="21" t="s">
        <v>530</v>
      </c>
      <c r="G85" s="21" t="s">
        <v>531</v>
      </c>
      <c r="I85" s="21" t="s">
        <v>517</v>
      </c>
      <c r="J85" s="21" t="s">
        <v>532</v>
      </c>
      <c r="L85" s="21" t="s">
        <v>444</v>
      </c>
      <c r="N85" s="21" t="s">
        <v>533</v>
      </c>
      <c r="P85" s="21" t="s">
        <v>67</v>
      </c>
    </row>
    <row r="86" spans="1:16" ht="84">
      <c r="A86" s="21">
        <v>90</v>
      </c>
      <c r="B86" s="21" t="s">
        <v>534</v>
      </c>
      <c r="C86" s="22" t="s">
        <v>535</v>
      </c>
      <c r="D86" s="21" t="s">
        <v>58</v>
      </c>
      <c r="E86" s="21" t="s">
        <v>451</v>
      </c>
      <c r="F86" s="21" t="s">
        <v>536</v>
      </c>
      <c r="G86" s="21" t="s">
        <v>537</v>
      </c>
      <c r="I86" s="21" t="s">
        <v>517</v>
      </c>
      <c r="J86" s="21" t="s">
        <v>538</v>
      </c>
      <c r="L86" s="21" t="s">
        <v>444</v>
      </c>
      <c r="N86" s="21" t="s">
        <v>539</v>
      </c>
      <c r="O86" s="21" t="s">
        <v>540</v>
      </c>
      <c r="P86" s="21" t="s">
        <v>67</v>
      </c>
    </row>
    <row r="87" spans="1:16" ht="48">
      <c r="A87" s="21">
        <v>91</v>
      </c>
      <c r="B87" s="21" t="s">
        <v>541</v>
      </c>
      <c r="C87" s="22" t="s">
        <v>542</v>
      </c>
      <c r="D87" s="21" t="s">
        <v>58</v>
      </c>
      <c r="E87" s="21" t="s">
        <v>543</v>
      </c>
      <c r="F87" s="21" t="s">
        <v>544</v>
      </c>
      <c r="G87" s="21" t="s">
        <v>545</v>
      </c>
      <c r="I87" s="21" t="s">
        <v>517</v>
      </c>
      <c r="J87" s="21" t="s">
        <v>546</v>
      </c>
      <c r="L87" s="21" t="s">
        <v>444</v>
      </c>
      <c r="N87" s="21" t="s">
        <v>547</v>
      </c>
      <c r="O87" s="21" t="s">
        <v>548</v>
      </c>
      <c r="P87" s="21" t="s">
        <v>67</v>
      </c>
    </row>
    <row r="88" spans="1:16">
      <c r="A88" s="21">
        <v>92</v>
      </c>
      <c r="B88" s="21" t="s">
        <v>549</v>
      </c>
      <c r="C88" s="22" t="s">
        <v>550</v>
      </c>
      <c r="D88" s="21" t="s">
        <v>58</v>
      </c>
      <c r="E88" s="21" t="s">
        <v>543</v>
      </c>
      <c r="F88" s="21" t="s">
        <v>551</v>
      </c>
      <c r="G88" s="21" t="s">
        <v>552</v>
      </c>
      <c r="I88" s="21" t="s">
        <v>517</v>
      </c>
      <c r="J88" s="21" t="s">
        <v>553</v>
      </c>
      <c r="L88" s="21" t="s">
        <v>444</v>
      </c>
      <c r="N88" s="21" t="s">
        <v>554</v>
      </c>
      <c r="O88" s="21" t="s">
        <v>555</v>
      </c>
      <c r="P88" s="21" t="s">
        <v>67</v>
      </c>
    </row>
    <row r="89" spans="1:16" ht="48">
      <c r="A89" s="21">
        <v>93</v>
      </c>
      <c r="B89" s="21" t="s">
        <v>521</v>
      </c>
      <c r="C89" s="22" t="s">
        <v>522</v>
      </c>
      <c r="D89" s="21" t="s">
        <v>58</v>
      </c>
      <c r="E89" s="21" t="s">
        <v>431</v>
      </c>
      <c r="F89" s="21" t="s">
        <v>556</v>
      </c>
      <c r="G89" s="21" t="s">
        <v>557</v>
      </c>
      <c r="I89" s="21" t="s">
        <v>517</v>
      </c>
      <c r="J89" s="21" t="s">
        <v>525</v>
      </c>
      <c r="L89" s="21" t="s">
        <v>444</v>
      </c>
      <c r="N89" s="21" t="s">
        <v>558</v>
      </c>
      <c r="O89" s="21" t="s">
        <v>559</v>
      </c>
      <c r="P89" s="21" t="s">
        <v>67</v>
      </c>
    </row>
    <row r="90" spans="1:16" ht="60">
      <c r="A90" s="21">
        <v>94</v>
      </c>
      <c r="B90" s="21" t="s">
        <v>560</v>
      </c>
      <c r="C90" s="22" t="s">
        <v>561</v>
      </c>
      <c r="D90" s="21" t="s">
        <v>58</v>
      </c>
      <c r="E90" s="21" t="s">
        <v>381</v>
      </c>
      <c r="F90" s="21" t="s">
        <v>562</v>
      </c>
      <c r="G90" s="21">
        <v>50.11</v>
      </c>
      <c r="I90" s="21" t="s">
        <v>194</v>
      </c>
      <c r="J90" s="21" t="s">
        <v>563</v>
      </c>
      <c r="L90" s="21" t="s">
        <v>383</v>
      </c>
      <c r="O90" s="21" t="s">
        <v>564</v>
      </c>
      <c r="P90" s="21" t="s">
        <v>163</v>
      </c>
    </row>
    <row r="91" spans="1:16" ht="142.5">
      <c r="A91" s="21">
        <v>95</v>
      </c>
      <c r="B91" s="21" t="s">
        <v>565</v>
      </c>
      <c r="C91" s="22" t="s">
        <v>566</v>
      </c>
      <c r="D91" s="21" t="s">
        <v>58</v>
      </c>
      <c r="E91" s="21" t="s">
        <v>567</v>
      </c>
      <c r="F91" s="21" t="s">
        <v>568</v>
      </c>
      <c r="G91" s="21">
        <v>9194.2199999999993</v>
      </c>
      <c r="H91" s="21" t="s">
        <v>569</v>
      </c>
      <c r="I91" s="21" t="s">
        <v>194</v>
      </c>
      <c r="J91" s="21" t="s">
        <v>570</v>
      </c>
      <c r="L91" s="21" t="s">
        <v>571</v>
      </c>
      <c r="N91" s="21" t="s">
        <v>572</v>
      </c>
      <c r="O91" s="21" t="s">
        <v>573</v>
      </c>
      <c r="P91" s="21" t="s">
        <v>163</v>
      </c>
    </row>
    <row r="92" spans="1:16" ht="72">
      <c r="A92" s="21">
        <v>96</v>
      </c>
      <c r="B92" s="21" t="s">
        <v>191</v>
      </c>
      <c r="C92" s="22" t="s">
        <v>192</v>
      </c>
      <c r="D92" s="21" t="s">
        <v>58</v>
      </c>
      <c r="E92" s="21" t="s">
        <v>381</v>
      </c>
      <c r="F92" s="21" t="s">
        <v>193</v>
      </c>
      <c r="G92" s="21">
        <v>1</v>
      </c>
      <c r="I92" s="21" t="s">
        <v>194</v>
      </c>
      <c r="J92" s="21" t="s">
        <v>195</v>
      </c>
      <c r="L92" s="21" t="s">
        <v>444</v>
      </c>
      <c r="N92" s="21" t="s">
        <v>574</v>
      </c>
      <c r="O92" s="21" t="s">
        <v>575</v>
      </c>
      <c r="P92" s="21" t="s">
        <v>67</v>
      </c>
    </row>
    <row r="93" spans="1:16" ht="130.5">
      <c r="A93" s="21">
        <v>97</v>
      </c>
      <c r="B93" s="21" t="s">
        <v>576</v>
      </c>
      <c r="C93" s="22" t="s">
        <v>577</v>
      </c>
      <c r="D93" s="21" t="s">
        <v>58</v>
      </c>
      <c r="E93" s="21" t="s">
        <v>381</v>
      </c>
      <c r="F93" s="21" t="s">
        <v>578</v>
      </c>
      <c r="G93" s="21" t="s">
        <v>579</v>
      </c>
      <c r="I93" s="21" t="s">
        <v>194</v>
      </c>
      <c r="J93" s="21" t="s">
        <v>580</v>
      </c>
      <c r="L93" s="21" t="s">
        <v>383</v>
      </c>
      <c r="N93" s="21" t="s">
        <v>581</v>
      </c>
      <c r="O93" s="21" t="s">
        <v>582</v>
      </c>
      <c r="P93" s="21" t="s">
        <v>67</v>
      </c>
    </row>
    <row r="94" spans="1:16" ht="130.5">
      <c r="A94" s="21">
        <v>98</v>
      </c>
      <c r="B94" s="21" t="s">
        <v>583</v>
      </c>
      <c r="C94" s="22" t="s">
        <v>584</v>
      </c>
      <c r="D94" s="21" t="s">
        <v>58</v>
      </c>
      <c r="E94" s="21" t="s">
        <v>431</v>
      </c>
      <c r="F94" s="21" t="s">
        <v>585</v>
      </c>
      <c r="G94" s="21" t="s">
        <v>586</v>
      </c>
      <c r="I94" s="21" t="s">
        <v>587</v>
      </c>
      <c r="J94" s="21" t="s">
        <v>588</v>
      </c>
      <c r="L94" s="21" t="s">
        <v>444</v>
      </c>
      <c r="N94" s="21" t="s">
        <v>589</v>
      </c>
      <c r="O94" s="21" t="s">
        <v>590</v>
      </c>
      <c r="P94" s="21" t="s">
        <v>67</v>
      </c>
    </row>
    <row r="95" spans="1:16" ht="36">
      <c r="A95" s="21">
        <v>99</v>
      </c>
      <c r="B95" s="21" t="s">
        <v>202</v>
      </c>
      <c r="C95" s="22" t="s">
        <v>203</v>
      </c>
      <c r="D95" s="21" t="s">
        <v>58</v>
      </c>
      <c r="E95" s="21" t="s">
        <v>381</v>
      </c>
      <c r="F95" s="21" t="s">
        <v>591</v>
      </c>
      <c r="G95" s="21" t="s">
        <v>592</v>
      </c>
      <c r="I95" s="21" t="s">
        <v>194</v>
      </c>
      <c r="J95" s="21" t="s">
        <v>207</v>
      </c>
      <c r="L95" s="21" t="s">
        <v>383</v>
      </c>
      <c r="O95" s="21" t="s">
        <v>593</v>
      </c>
      <c r="P95" s="21" t="s">
        <v>67</v>
      </c>
    </row>
    <row r="96" spans="1:16" ht="36">
      <c r="A96" s="21">
        <v>100</v>
      </c>
      <c r="B96" s="21" t="s">
        <v>210</v>
      </c>
      <c r="C96" s="22" t="s">
        <v>211</v>
      </c>
      <c r="D96" s="21" t="s">
        <v>58</v>
      </c>
      <c r="E96" s="21" t="s">
        <v>381</v>
      </c>
      <c r="F96" s="21" t="s">
        <v>594</v>
      </c>
      <c r="G96" s="21">
        <v>1000</v>
      </c>
      <c r="I96" s="21" t="s">
        <v>194</v>
      </c>
      <c r="J96" s="21" t="s">
        <v>213</v>
      </c>
      <c r="L96" s="21" t="s">
        <v>497</v>
      </c>
      <c r="O96" s="21" t="s">
        <v>595</v>
      </c>
      <c r="P96" s="21" t="s">
        <v>67</v>
      </c>
    </row>
    <row r="97" spans="1:16" ht="72">
      <c r="A97" s="21">
        <v>101</v>
      </c>
      <c r="B97" s="21" t="s">
        <v>216</v>
      </c>
      <c r="C97" s="22" t="s">
        <v>217</v>
      </c>
      <c r="D97" s="21" t="s">
        <v>58</v>
      </c>
      <c r="E97" s="21" t="s">
        <v>381</v>
      </c>
      <c r="F97" s="21" t="s">
        <v>596</v>
      </c>
      <c r="G97" s="21" t="s">
        <v>597</v>
      </c>
      <c r="I97" s="21" t="s">
        <v>194</v>
      </c>
      <c r="J97" s="21" t="s">
        <v>220</v>
      </c>
      <c r="L97" s="21" t="s">
        <v>497</v>
      </c>
      <c r="O97" s="21" t="s">
        <v>598</v>
      </c>
      <c r="P97" s="21" t="s">
        <v>67</v>
      </c>
    </row>
    <row r="98" spans="1:16" ht="24">
      <c r="A98" s="21">
        <v>102</v>
      </c>
      <c r="B98" s="21" t="s">
        <v>599</v>
      </c>
      <c r="C98" s="22" t="s">
        <v>600</v>
      </c>
      <c r="D98" s="21" t="s">
        <v>58</v>
      </c>
      <c r="E98" s="21" t="s">
        <v>381</v>
      </c>
      <c r="F98" s="21" t="s">
        <v>601</v>
      </c>
      <c r="G98" s="21">
        <v>3</v>
      </c>
      <c r="H98" s="21" t="s">
        <v>602</v>
      </c>
      <c r="I98" s="21" t="s">
        <v>194</v>
      </c>
      <c r="J98" s="21" t="s">
        <v>603</v>
      </c>
      <c r="L98" s="21" t="s">
        <v>383</v>
      </c>
      <c r="N98" s="21" t="s">
        <v>604</v>
      </c>
      <c r="O98" s="21" t="s">
        <v>605</v>
      </c>
      <c r="P98" s="21" t="s">
        <v>67</v>
      </c>
    </row>
    <row r="99" spans="1:16" ht="238.5">
      <c r="A99" s="21">
        <v>103</v>
      </c>
      <c r="B99" s="21" t="s">
        <v>606</v>
      </c>
      <c r="C99" s="22" t="s">
        <v>607</v>
      </c>
      <c r="D99" s="21" t="s">
        <v>58</v>
      </c>
      <c r="E99" s="21" t="s">
        <v>431</v>
      </c>
      <c r="F99" s="21" t="s">
        <v>608</v>
      </c>
      <c r="G99" s="21" t="s">
        <v>609</v>
      </c>
      <c r="I99" s="21" t="s">
        <v>194</v>
      </c>
      <c r="J99" s="21" t="s">
        <v>610</v>
      </c>
      <c r="L99" s="21" t="s">
        <v>444</v>
      </c>
      <c r="M99" s="21" t="s">
        <v>611</v>
      </c>
      <c r="N99" s="21" t="s">
        <v>612</v>
      </c>
      <c r="O99" s="21" t="s">
        <v>613</v>
      </c>
      <c r="P99" s="21" t="s">
        <v>67</v>
      </c>
    </row>
    <row r="100" spans="1:16" ht="60">
      <c r="A100" s="21">
        <v>104</v>
      </c>
      <c r="B100" s="21" t="s">
        <v>606</v>
      </c>
      <c r="C100" s="22" t="s">
        <v>614</v>
      </c>
      <c r="D100" s="21" t="s">
        <v>58</v>
      </c>
      <c r="E100" s="21" t="s">
        <v>431</v>
      </c>
      <c r="F100" s="21" t="s">
        <v>615</v>
      </c>
      <c r="G100" s="21" t="s">
        <v>616</v>
      </c>
      <c r="I100" s="21" t="s">
        <v>587</v>
      </c>
      <c r="J100" s="21" t="s">
        <v>617</v>
      </c>
      <c r="L100" s="21" t="s">
        <v>444</v>
      </c>
      <c r="M100" s="21" t="s">
        <v>618</v>
      </c>
      <c r="O100" s="21" t="s">
        <v>619</v>
      </c>
      <c r="P100" s="21" t="s">
        <v>155</v>
      </c>
    </row>
    <row r="101" spans="1:16" ht="142.5">
      <c r="A101" s="21">
        <v>105</v>
      </c>
      <c r="B101" s="21" t="s">
        <v>620</v>
      </c>
      <c r="C101" s="22" t="s">
        <v>621</v>
      </c>
      <c r="D101" s="21" t="s">
        <v>58</v>
      </c>
      <c r="E101" s="21" t="s">
        <v>381</v>
      </c>
      <c r="F101" s="21" t="s">
        <v>622</v>
      </c>
      <c r="G101" s="21" t="s">
        <v>623</v>
      </c>
      <c r="I101" s="21" t="s">
        <v>194</v>
      </c>
      <c r="J101" s="21" t="s">
        <v>624</v>
      </c>
      <c r="L101" s="21" t="s">
        <v>383</v>
      </c>
      <c r="N101" s="21" t="s">
        <v>625</v>
      </c>
      <c r="O101" s="21" t="s">
        <v>626</v>
      </c>
      <c r="P101" s="21" t="s">
        <v>67</v>
      </c>
    </row>
    <row r="102" spans="1:16" ht="166.5">
      <c r="A102" s="21">
        <v>106</v>
      </c>
      <c r="B102" s="21" t="s">
        <v>627</v>
      </c>
      <c r="C102" s="22" t="s">
        <v>628</v>
      </c>
      <c r="D102" s="21" t="s">
        <v>58</v>
      </c>
      <c r="E102" s="21" t="s">
        <v>381</v>
      </c>
      <c r="F102" s="21" t="s">
        <v>629</v>
      </c>
      <c r="G102" s="21" t="s">
        <v>630</v>
      </c>
      <c r="I102" s="21" t="s">
        <v>194</v>
      </c>
      <c r="J102" s="21" t="s">
        <v>631</v>
      </c>
      <c r="L102" s="21" t="s">
        <v>383</v>
      </c>
      <c r="N102" s="21" t="s">
        <v>632</v>
      </c>
      <c r="O102" s="21" t="s">
        <v>633</v>
      </c>
      <c r="P102" s="21" t="s">
        <v>67</v>
      </c>
    </row>
    <row r="103" spans="1:16" ht="142.5">
      <c r="A103" s="21">
        <v>107</v>
      </c>
      <c r="B103" s="21" t="s">
        <v>634</v>
      </c>
      <c r="C103" s="22" t="s">
        <v>635</v>
      </c>
      <c r="D103" s="21" t="s">
        <v>58</v>
      </c>
      <c r="E103" s="21" t="s">
        <v>381</v>
      </c>
      <c r="F103" s="21" t="s">
        <v>636</v>
      </c>
      <c r="I103" s="21" t="s">
        <v>194</v>
      </c>
      <c r="J103" s="21" t="s">
        <v>637</v>
      </c>
      <c r="L103" s="21" t="s">
        <v>383</v>
      </c>
      <c r="N103" s="21" t="s">
        <v>638</v>
      </c>
      <c r="O103" s="21" t="s">
        <v>639</v>
      </c>
      <c r="P103" s="21" t="s">
        <v>67</v>
      </c>
    </row>
    <row r="104" spans="1:16" ht="130.5">
      <c r="A104" s="21">
        <v>108</v>
      </c>
      <c r="B104" s="21" t="s">
        <v>640</v>
      </c>
      <c r="C104" s="22" t="s">
        <v>641</v>
      </c>
      <c r="D104" s="21" t="s">
        <v>58</v>
      </c>
      <c r="E104" s="21" t="s">
        <v>381</v>
      </c>
      <c r="F104" s="21" t="s">
        <v>642</v>
      </c>
      <c r="I104" s="21" t="s">
        <v>194</v>
      </c>
      <c r="J104" s="21" t="s">
        <v>643</v>
      </c>
      <c r="L104" s="21" t="s">
        <v>383</v>
      </c>
      <c r="N104" s="21" t="s">
        <v>644</v>
      </c>
      <c r="O104" s="21" t="s">
        <v>645</v>
      </c>
      <c r="P104" s="21" t="s">
        <v>67</v>
      </c>
    </row>
    <row r="105" spans="1:16" ht="107.25">
      <c r="A105" s="21">
        <v>109</v>
      </c>
      <c r="B105" s="21" t="s">
        <v>646</v>
      </c>
      <c r="C105" s="22" t="s">
        <v>647</v>
      </c>
      <c r="D105" s="21" t="s">
        <v>58</v>
      </c>
      <c r="E105" s="21" t="s">
        <v>381</v>
      </c>
      <c r="F105" s="21" t="s">
        <v>648</v>
      </c>
      <c r="I105" s="21" t="s">
        <v>194</v>
      </c>
      <c r="J105" s="21" t="s">
        <v>649</v>
      </c>
      <c r="L105" s="21" t="s">
        <v>383</v>
      </c>
      <c r="N105" s="21" t="s">
        <v>650</v>
      </c>
      <c r="P105" s="21" t="s">
        <v>67</v>
      </c>
    </row>
    <row r="106" spans="1:16" ht="409.6">
      <c r="A106" s="21">
        <v>110</v>
      </c>
      <c r="B106" s="21" t="s">
        <v>651</v>
      </c>
      <c r="C106" s="22" t="s">
        <v>652</v>
      </c>
      <c r="D106" s="21" t="s">
        <v>58</v>
      </c>
      <c r="E106" s="21" t="s">
        <v>431</v>
      </c>
      <c r="F106" s="21" t="s">
        <v>653</v>
      </c>
      <c r="G106" s="21">
        <v>0.85</v>
      </c>
      <c r="I106" s="21" t="s">
        <v>587</v>
      </c>
      <c r="J106" s="21" t="s">
        <v>654</v>
      </c>
      <c r="L106" s="21" t="s">
        <v>444</v>
      </c>
      <c r="O106" s="21" t="s">
        <v>655</v>
      </c>
      <c r="P106" s="21" t="s">
        <v>155</v>
      </c>
    </row>
    <row r="107" spans="1:16" ht="190.5">
      <c r="A107" s="21">
        <v>111</v>
      </c>
      <c r="B107" s="21" t="s">
        <v>656</v>
      </c>
      <c r="C107" s="22" t="s">
        <v>657</v>
      </c>
      <c r="D107" s="21" t="s">
        <v>58</v>
      </c>
      <c r="E107" s="21" t="s">
        <v>431</v>
      </c>
      <c r="F107" s="21" t="s">
        <v>658</v>
      </c>
      <c r="G107" s="21" t="s">
        <v>659</v>
      </c>
      <c r="H107" s="21" t="s">
        <v>660</v>
      </c>
      <c r="I107" s="21" t="s">
        <v>661</v>
      </c>
      <c r="J107" s="21" t="s">
        <v>662</v>
      </c>
      <c r="L107" s="21" t="s">
        <v>469</v>
      </c>
      <c r="N107" s="21" t="s">
        <v>663</v>
      </c>
      <c r="O107" s="21" t="s">
        <v>664</v>
      </c>
      <c r="P107" s="21" t="s">
        <v>67</v>
      </c>
    </row>
    <row r="108" spans="1:16" ht="214.5">
      <c r="A108" s="21">
        <v>112</v>
      </c>
      <c r="B108" s="21" t="s">
        <v>665</v>
      </c>
      <c r="C108" s="22" t="s">
        <v>666</v>
      </c>
      <c r="D108" s="21" t="s">
        <v>58</v>
      </c>
      <c r="E108" s="21" t="s">
        <v>431</v>
      </c>
      <c r="F108" s="21" t="s">
        <v>667</v>
      </c>
      <c r="G108" s="21" t="s">
        <v>668</v>
      </c>
      <c r="H108" s="21" t="s">
        <v>660</v>
      </c>
      <c r="I108" s="21" t="s">
        <v>661</v>
      </c>
      <c r="J108" s="21" t="s">
        <v>669</v>
      </c>
      <c r="L108" s="21" t="s">
        <v>469</v>
      </c>
      <c r="N108" s="21" t="s">
        <v>670</v>
      </c>
      <c r="O108" s="21" t="s">
        <v>664</v>
      </c>
      <c r="P108" s="21" t="s">
        <v>67</v>
      </c>
    </row>
    <row r="109" spans="1:16" ht="190.5">
      <c r="A109" s="21">
        <v>113</v>
      </c>
      <c r="B109" s="21" t="s">
        <v>671</v>
      </c>
      <c r="C109" s="22" t="s">
        <v>657</v>
      </c>
      <c r="D109" s="21" t="s">
        <v>58</v>
      </c>
      <c r="E109" s="21" t="s">
        <v>431</v>
      </c>
      <c r="F109" s="21" t="s">
        <v>658</v>
      </c>
      <c r="G109" s="21" t="s">
        <v>659</v>
      </c>
      <c r="H109" s="21" t="s">
        <v>660</v>
      </c>
      <c r="I109" s="21" t="s">
        <v>661</v>
      </c>
      <c r="J109" s="21" t="s">
        <v>672</v>
      </c>
      <c r="L109" s="21" t="s">
        <v>469</v>
      </c>
      <c r="O109" s="21" t="s">
        <v>673</v>
      </c>
      <c r="P109" s="21" t="s">
        <v>67</v>
      </c>
    </row>
    <row r="110" spans="1:16" ht="214.5">
      <c r="A110" s="21">
        <v>114</v>
      </c>
      <c r="B110" s="21" t="s">
        <v>674</v>
      </c>
      <c r="C110" s="22" t="s">
        <v>666</v>
      </c>
      <c r="D110" s="21" t="s">
        <v>58</v>
      </c>
      <c r="E110" s="21" t="s">
        <v>431</v>
      </c>
      <c r="F110" s="21" t="s">
        <v>667</v>
      </c>
      <c r="G110" s="21" t="s">
        <v>668</v>
      </c>
      <c r="H110" s="21" t="s">
        <v>660</v>
      </c>
      <c r="I110" s="21" t="s">
        <v>661</v>
      </c>
      <c r="J110" s="21" t="s">
        <v>675</v>
      </c>
      <c r="L110" s="21" t="s">
        <v>469</v>
      </c>
      <c r="O110" s="21" t="s">
        <v>673</v>
      </c>
      <c r="P110" s="21" t="s">
        <v>67</v>
      </c>
    </row>
    <row r="111" spans="1:16" ht="190.5">
      <c r="A111" s="21">
        <v>115</v>
      </c>
      <c r="B111" s="21" t="s">
        <v>676</v>
      </c>
      <c r="C111" s="22" t="s">
        <v>657</v>
      </c>
      <c r="D111" s="21" t="s">
        <v>58</v>
      </c>
      <c r="E111" s="21" t="s">
        <v>431</v>
      </c>
      <c r="F111" s="21" t="s">
        <v>658</v>
      </c>
      <c r="G111" s="21" t="s">
        <v>659</v>
      </c>
      <c r="H111" s="21" t="s">
        <v>660</v>
      </c>
      <c r="I111" s="21" t="s">
        <v>661</v>
      </c>
      <c r="J111" s="21" t="s">
        <v>677</v>
      </c>
      <c r="L111" s="21" t="s">
        <v>469</v>
      </c>
      <c r="O111" s="21" t="s">
        <v>678</v>
      </c>
      <c r="P111" s="21" t="s">
        <v>67</v>
      </c>
    </row>
    <row r="112" spans="1:16" ht="214.5">
      <c r="A112" s="21">
        <v>116</v>
      </c>
      <c r="B112" s="21" t="s">
        <v>679</v>
      </c>
      <c r="C112" s="22" t="s">
        <v>666</v>
      </c>
      <c r="D112" s="21" t="s">
        <v>58</v>
      </c>
      <c r="E112" s="21" t="s">
        <v>431</v>
      </c>
      <c r="F112" s="21" t="s">
        <v>667</v>
      </c>
      <c r="G112" s="21" t="s">
        <v>668</v>
      </c>
      <c r="H112" s="21" t="s">
        <v>660</v>
      </c>
      <c r="I112" s="21" t="s">
        <v>661</v>
      </c>
      <c r="J112" s="21" t="s">
        <v>680</v>
      </c>
      <c r="L112" s="21" t="s">
        <v>469</v>
      </c>
      <c r="O112" s="21" t="s">
        <v>678</v>
      </c>
      <c r="P112" s="21" t="s">
        <v>67</v>
      </c>
    </row>
    <row r="113" spans="1:16" ht="190.5">
      <c r="A113" s="21">
        <v>117</v>
      </c>
      <c r="B113" s="21" t="s">
        <v>681</v>
      </c>
      <c r="C113" s="22" t="s">
        <v>657</v>
      </c>
      <c r="D113" s="21" t="s">
        <v>58</v>
      </c>
      <c r="E113" s="21" t="s">
        <v>431</v>
      </c>
      <c r="F113" s="21" t="s">
        <v>658</v>
      </c>
      <c r="G113" s="21" t="s">
        <v>659</v>
      </c>
      <c r="H113" s="21" t="s">
        <v>660</v>
      </c>
      <c r="I113" s="21" t="s">
        <v>661</v>
      </c>
      <c r="J113" s="21" t="s">
        <v>682</v>
      </c>
      <c r="L113" s="21" t="s">
        <v>469</v>
      </c>
      <c r="O113" s="21" t="s">
        <v>683</v>
      </c>
      <c r="P113" s="21" t="s">
        <v>67</v>
      </c>
    </row>
    <row r="114" spans="1:16" ht="214.5">
      <c r="A114" s="21">
        <v>118</v>
      </c>
      <c r="B114" s="21" t="s">
        <v>684</v>
      </c>
      <c r="C114" s="22" t="s">
        <v>666</v>
      </c>
      <c r="D114" s="21" t="s">
        <v>58</v>
      </c>
      <c r="E114" s="21" t="s">
        <v>431</v>
      </c>
      <c r="F114" s="21" t="s">
        <v>667</v>
      </c>
      <c r="G114" s="21" t="s">
        <v>668</v>
      </c>
      <c r="H114" s="21" t="s">
        <v>660</v>
      </c>
      <c r="I114" s="21" t="s">
        <v>661</v>
      </c>
      <c r="J114" s="21" t="s">
        <v>685</v>
      </c>
      <c r="L114" s="21" t="s">
        <v>469</v>
      </c>
      <c r="O114" s="21" t="s">
        <v>683</v>
      </c>
      <c r="P114" s="21" t="s">
        <v>67</v>
      </c>
    </row>
    <row r="115" spans="1:16" ht="166.5">
      <c r="A115" s="21">
        <v>119</v>
      </c>
      <c r="B115" s="21" t="s">
        <v>686</v>
      </c>
      <c r="C115" s="22" t="s">
        <v>687</v>
      </c>
      <c r="D115" s="21" t="s">
        <v>58</v>
      </c>
      <c r="E115" s="21" t="s">
        <v>431</v>
      </c>
      <c r="F115" s="21" t="s">
        <v>688</v>
      </c>
      <c r="G115" s="21">
        <v>0.1</v>
      </c>
      <c r="I115" s="21" t="s">
        <v>194</v>
      </c>
      <c r="J115" s="21" t="s">
        <v>689</v>
      </c>
      <c r="L115" s="21" t="s">
        <v>444</v>
      </c>
      <c r="O115" s="21" t="s">
        <v>690</v>
      </c>
      <c r="P115" s="21" t="s">
        <v>163</v>
      </c>
    </row>
    <row r="116" spans="1:16" ht="409.6">
      <c r="A116" s="21">
        <v>120</v>
      </c>
      <c r="B116" s="21" t="s">
        <v>691</v>
      </c>
      <c r="C116" s="22" t="s">
        <v>692</v>
      </c>
      <c r="D116" s="21" t="s">
        <v>58</v>
      </c>
      <c r="E116" s="21" t="s">
        <v>381</v>
      </c>
      <c r="F116" s="21" t="s">
        <v>693</v>
      </c>
      <c r="G116" s="21">
        <v>11.15</v>
      </c>
      <c r="I116" s="21" t="s">
        <v>194</v>
      </c>
      <c r="J116" s="21" t="s">
        <v>694</v>
      </c>
      <c r="L116" s="21" t="s">
        <v>383</v>
      </c>
      <c r="O116" s="21" t="s">
        <v>695</v>
      </c>
      <c r="P116" s="21" t="s">
        <v>155</v>
      </c>
    </row>
    <row r="117" spans="1:16" ht="96">
      <c r="A117" s="21">
        <v>121</v>
      </c>
      <c r="B117" s="21" t="s">
        <v>226</v>
      </c>
      <c r="C117" s="22" t="s">
        <v>227</v>
      </c>
      <c r="D117" s="21" t="s">
        <v>58</v>
      </c>
      <c r="E117" s="21" t="s">
        <v>431</v>
      </c>
      <c r="F117" s="21" t="s">
        <v>696</v>
      </c>
      <c r="G117" s="21">
        <v>17.989999999999998</v>
      </c>
      <c r="I117" s="21" t="s">
        <v>194</v>
      </c>
      <c r="J117" s="21" t="s">
        <v>229</v>
      </c>
      <c r="L117" s="21" t="s">
        <v>469</v>
      </c>
      <c r="O117" s="21" t="s">
        <v>697</v>
      </c>
      <c r="P117" s="21" t="s">
        <v>163</v>
      </c>
    </row>
    <row r="118" spans="1:16" ht="48">
      <c r="A118" s="21">
        <v>122</v>
      </c>
      <c r="B118" s="21" t="s">
        <v>698</v>
      </c>
      <c r="C118" s="22" t="s">
        <v>699</v>
      </c>
      <c r="D118" s="21" t="s">
        <v>58</v>
      </c>
      <c r="E118" s="21" t="s">
        <v>381</v>
      </c>
      <c r="F118" s="21" t="s">
        <v>700</v>
      </c>
      <c r="G118" s="21">
        <v>13.22</v>
      </c>
      <c r="I118" s="21" t="s">
        <v>194</v>
      </c>
      <c r="J118" s="21" t="s">
        <v>701</v>
      </c>
      <c r="L118" s="21" t="s">
        <v>383</v>
      </c>
      <c r="O118" s="21" t="s">
        <v>702</v>
      </c>
      <c r="P118" s="21" t="s">
        <v>163</v>
      </c>
    </row>
    <row r="119" spans="1:16" ht="36">
      <c r="A119" s="21">
        <v>123</v>
      </c>
      <c r="B119" s="21" t="s">
        <v>221</v>
      </c>
      <c r="C119" s="22" t="s">
        <v>222</v>
      </c>
      <c r="D119" s="21" t="s">
        <v>58</v>
      </c>
      <c r="E119" s="21" t="s">
        <v>381</v>
      </c>
      <c r="F119" s="21" t="s">
        <v>703</v>
      </c>
      <c r="G119" s="21">
        <v>11.14</v>
      </c>
      <c r="I119" s="21" t="s">
        <v>194</v>
      </c>
      <c r="J119" s="21" t="s">
        <v>224</v>
      </c>
      <c r="L119" s="21" t="s">
        <v>497</v>
      </c>
      <c r="N119" s="21" t="s">
        <v>704</v>
      </c>
      <c r="O119" s="21" t="s">
        <v>705</v>
      </c>
      <c r="P119" s="21" t="s">
        <v>163</v>
      </c>
    </row>
    <row r="120" spans="1:16" ht="60">
      <c r="A120" s="21">
        <v>124</v>
      </c>
      <c r="B120" s="21" t="s">
        <v>706</v>
      </c>
      <c r="C120" s="22" t="s">
        <v>707</v>
      </c>
      <c r="D120" s="21" t="s">
        <v>58</v>
      </c>
      <c r="E120" s="21" t="s">
        <v>431</v>
      </c>
      <c r="F120" s="21" t="s">
        <v>708</v>
      </c>
      <c r="G120" s="21">
        <v>17.11</v>
      </c>
      <c r="I120" s="21" t="s">
        <v>194</v>
      </c>
      <c r="J120" s="21" t="s">
        <v>709</v>
      </c>
      <c r="L120" s="21" t="s">
        <v>469</v>
      </c>
      <c r="O120" s="21" t="s">
        <v>710</v>
      </c>
      <c r="P120" s="21" t="s">
        <v>155</v>
      </c>
    </row>
    <row r="121" spans="1:16" ht="409.6">
      <c r="A121" s="21">
        <v>125</v>
      </c>
      <c r="B121" s="21" t="s">
        <v>711</v>
      </c>
      <c r="C121" s="22" t="s">
        <v>712</v>
      </c>
      <c r="D121" s="21" t="s">
        <v>58</v>
      </c>
      <c r="E121" s="21" t="s">
        <v>381</v>
      </c>
      <c r="F121" s="21" t="s">
        <v>713</v>
      </c>
      <c r="G121" s="21">
        <v>3.5</v>
      </c>
      <c r="I121" s="21" t="s">
        <v>194</v>
      </c>
      <c r="J121" s="21" t="s">
        <v>714</v>
      </c>
      <c r="L121" s="21" t="s">
        <v>383</v>
      </c>
      <c r="N121" s="21" t="s">
        <v>715</v>
      </c>
      <c r="O121" s="21" t="s">
        <v>716</v>
      </c>
      <c r="P121" s="21" t="s">
        <v>163</v>
      </c>
    </row>
    <row r="122" spans="1:16" ht="409.6">
      <c r="A122" s="21">
        <v>126</v>
      </c>
      <c r="B122" s="21" t="s">
        <v>717</v>
      </c>
      <c r="C122" s="22" t="s">
        <v>718</v>
      </c>
      <c r="D122" s="21" t="s">
        <v>58</v>
      </c>
      <c r="E122" s="21" t="s">
        <v>431</v>
      </c>
      <c r="F122" s="21" t="s">
        <v>719</v>
      </c>
      <c r="G122" s="21">
        <v>4.5</v>
      </c>
      <c r="I122" s="21" t="s">
        <v>587</v>
      </c>
      <c r="J122" s="21" t="s">
        <v>720</v>
      </c>
      <c r="L122" s="21" t="s">
        <v>444</v>
      </c>
      <c r="O122" s="21" t="s">
        <v>721</v>
      </c>
      <c r="P122" s="21" t="s">
        <v>155</v>
      </c>
    </row>
    <row r="123" spans="1:16" ht="409.6">
      <c r="A123" s="21">
        <v>127</v>
      </c>
      <c r="B123" s="21" t="s">
        <v>722</v>
      </c>
      <c r="C123" s="22" t="s">
        <v>723</v>
      </c>
      <c r="D123" s="21" t="s">
        <v>58</v>
      </c>
      <c r="E123" s="21" t="s">
        <v>431</v>
      </c>
      <c r="F123" s="21" t="s">
        <v>724</v>
      </c>
      <c r="G123" s="21">
        <v>11.11</v>
      </c>
      <c r="I123" s="21" t="s">
        <v>587</v>
      </c>
      <c r="J123" s="21" t="s">
        <v>725</v>
      </c>
      <c r="L123" s="21" t="s">
        <v>444</v>
      </c>
      <c r="O123" s="21" t="s">
        <v>726</v>
      </c>
      <c r="P123" s="21" t="s">
        <v>155</v>
      </c>
    </row>
    <row r="124" spans="1:16" ht="409.6">
      <c r="A124" s="21">
        <v>128</v>
      </c>
      <c r="B124" s="21" t="s">
        <v>727</v>
      </c>
      <c r="C124" s="22" t="s">
        <v>728</v>
      </c>
      <c r="D124" s="21" t="s">
        <v>58</v>
      </c>
      <c r="E124" s="21" t="s">
        <v>431</v>
      </c>
      <c r="F124" s="21" t="s">
        <v>729</v>
      </c>
      <c r="G124" s="21">
        <v>17</v>
      </c>
      <c r="I124" s="21" t="s">
        <v>587</v>
      </c>
      <c r="J124" s="21" t="s">
        <v>730</v>
      </c>
      <c r="L124" s="21" t="s">
        <v>444</v>
      </c>
      <c r="O124" s="21" t="s">
        <v>731</v>
      </c>
      <c r="P124" s="21" t="s">
        <v>155</v>
      </c>
    </row>
    <row r="125" spans="1:16" ht="409.6">
      <c r="A125" s="21">
        <v>129</v>
      </c>
      <c r="B125" s="21" t="s">
        <v>732</v>
      </c>
      <c r="C125" s="22" t="s">
        <v>733</v>
      </c>
      <c r="D125" s="21" t="s">
        <v>58</v>
      </c>
      <c r="E125" s="21" t="s">
        <v>431</v>
      </c>
      <c r="F125" s="21" t="s">
        <v>734</v>
      </c>
      <c r="G125" s="21">
        <v>14.21</v>
      </c>
      <c r="I125" s="21" t="s">
        <v>587</v>
      </c>
      <c r="J125" s="21" t="s">
        <v>735</v>
      </c>
      <c r="L125" s="21" t="s">
        <v>444</v>
      </c>
      <c r="O125" s="21" t="s">
        <v>736</v>
      </c>
      <c r="P125" s="21" t="s">
        <v>155</v>
      </c>
    </row>
    <row r="126" spans="1:16" ht="24">
      <c r="A126" s="21">
        <v>130</v>
      </c>
      <c r="B126" s="21" t="s">
        <v>737</v>
      </c>
      <c r="C126" s="22" t="s">
        <v>738</v>
      </c>
      <c r="D126" s="21" t="s">
        <v>58</v>
      </c>
      <c r="E126" s="21" t="s">
        <v>431</v>
      </c>
      <c r="F126" s="21" t="s">
        <v>739</v>
      </c>
      <c r="G126" s="21" t="s">
        <v>491</v>
      </c>
      <c r="I126" s="21" t="s">
        <v>587</v>
      </c>
      <c r="J126" s="21" t="s">
        <v>740</v>
      </c>
      <c r="L126" s="21" t="s">
        <v>444</v>
      </c>
      <c r="N126" s="21" t="s">
        <v>741</v>
      </c>
      <c r="O126" s="21" t="s">
        <v>742</v>
      </c>
      <c r="P126" s="21" t="s">
        <v>67</v>
      </c>
    </row>
    <row r="127" spans="1:16" ht="36">
      <c r="A127" s="21">
        <v>131</v>
      </c>
      <c r="B127" s="21" t="s">
        <v>743</v>
      </c>
      <c r="C127" s="22" t="s">
        <v>744</v>
      </c>
      <c r="D127" s="21" t="s">
        <v>58</v>
      </c>
      <c r="E127" s="21" t="s">
        <v>745</v>
      </c>
      <c r="F127" s="21" t="s">
        <v>746</v>
      </c>
      <c r="G127" s="21" t="s">
        <v>747</v>
      </c>
      <c r="H127" s="21" t="s">
        <v>748</v>
      </c>
      <c r="I127" s="21" t="s">
        <v>153</v>
      </c>
      <c r="J127" s="21" t="s">
        <v>749</v>
      </c>
      <c r="L127" s="21" t="s">
        <v>444</v>
      </c>
      <c r="N127" s="21" t="s">
        <v>750</v>
      </c>
      <c r="O127" s="21" t="s">
        <v>751</v>
      </c>
      <c r="P127" s="21" t="s">
        <v>67</v>
      </c>
    </row>
    <row r="128" spans="1:16" ht="72">
      <c r="A128" s="21">
        <v>132</v>
      </c>
      <c r="B128" s="21" t="s">
        <v>752</v>
      </c>
      <c r="C128" s="22" t="s">
        <v>753</v>
      </c>
      <c r="D128" s="21" t="s">
        <v>58</v>
      </c>
      <c r="E128" s="21" t="s">
        <v>745</v>
      </c>
      <c r="F128" s="21" t="s">
        <v>754</v>
      </c>
      <c r="G128" s="21" t="s">
        <v>755</v>
      </c>
      <c r="H128" s="21" t="s">
        <v>748</v>
      </c>
      <c r="I128" s="21" t="s">
        <v>153</v>
      </c>
      <c r="J128" s="21" t="s">
        <v>756</v>
      </c>
      <c r="L128" s="21" t="s">
        <v>444</v>
      </c>
      <c r="O128" s="21" t="s">
        <v>757</v>
      </c>
      <c r="P128" s="21" t="s">
        <v>67</v>
      </c>
    </row>
    <row r="129" spans="1:16" ht="72">
      <c r="A129" s="21">
        <v>133</v>
      </c>
      <c r="B129" s="21" t="s">
        <v>758</v>
      </c>
      <c r="C129" s="22" t="s">
        <v>759</v>
      </c>
      <c r="D129" s="21" t="s">
        <v>58</v>
      </c>
      <c r="E129" s="21" t="s">
        <v>451</v>
      </c>
      <c r="F129" s="21" t="s">
        <v>760</v>
      </c>
      <c r="G129" s="21" t="s">
        <v>283</v>
      </c>
      <c r="I129" s="21" t="s">
        <v>476</v>
      </c>
      <c r="J129" s="21" t="s">
        <v>761</v>
      </c>
      <c r="L129" s="21" t="s">
        <v>444</v>
      </c>
      <c r="M129" s="21" t="s">
        <v>762</v>
      </c>
      <c r="N129" s="21" t="s">
        <v>763</v>
      </c>
      <c r="O129" s="21" t="s">
        <v>764</v>
      </c>
      <c r="P129" s="21" t="s">
        <v>67</v>
      </c>
    </row>
    <row r="130" spans="1:16" ht="84">
      <c r="A130" s="21">
        <v>134</v>
      </c>
      <c r="B130" s="21" t="s">
        <v>765</v>
      </c>
      <c r="C130" s="22" t="s">
        <v>766</v>
      </c>
      <c r="D130" s="21" t="s">
        <v>58</v>
      </c>
      <c r="E130" s="21" t="s">
        <v>381</v>
      </c>
      <c r="F130" s="21" t="s">
        <v>767</v>
      </c>
      <c r="G130" s="21" t="s">
        <v>768</v>
      </c>
      <c r="I130" s="21" t="s">
        <v>153</v>
      </c>
      <c r="J130" s="21" t="s">
        <v>769</v>
      </c>
      <c r="L130" s="21" t="s">
        <v>383</v>
      </c>
      <c r="P130" s="21" t="s">
        <v>67</v>
      </c>
    </row>
    <row r="131" spans="1:16" ht="48">
      <c r="A131" s="21">
        <v>135</v>
      </c>
      <c r="B131" s="21" t="s">
        <v>770</v>
      </c>
      <c r="C131" s="22" t="s">
        <v>771</v>
      </c>
      <c r="D131" s="21" t="s">
        <v>58</v>
      </c>
      <c r="E131" s="21" t="s">
        <v>431</v>
      </c>
      <c r="F131" s="21" t="s">
        <v>772</v>
      </c>
      <c r="G131" s="21" t="s">
        <v>773</v>
      </c>
      <c r="H131" s="21" t="s">
        <v>774</v>
      </c>
      <c r="I131" s="21" t="s">
        <v>476</v>
      </c>
      <c r="J131" s="21" t="s">
        <v>775</v>
      </c>
      <c r="L131" s="21" t="s">
        <v>444</v>
      </c>
      <c r="M131" s="21" t="s">
        <v>776</v>
      </c>
      <c r="N131" s="21" t="s">
        <v>777</v>
      </c>
      <c r="O131" s="21" t="s">
        <v>778</v>
      </c>
      <c r="P131" s="21" t="s">
        <v>67</v>
      </c>
    </row>
    <row r="132" spans="1:16" ht="84">
      <c r="A132" s="21">
        <v>136</v>
      </c>
      <c r="B132" s="21" t="s">
        <v>779</v>
      </c>
      <c r="C132" s="22" t="s">
        <v>780</v>
      </c>
      <c r="D132" s="21" t="s">
        <v>58</v>
      </c>
      <c r="E132" s="21" t="s">
        <v>451</v>
      </c>
      <c r="F132" s="21" t="s">
        <v>781</v>
      </c>
      <c r="G132" s="21" t="s">
        <v>782</v>
      </c>
      <c r="I132" s="21" t="s">
        <v>476</v>
      </c>
      <c r="J132" s="21" t="s">
        <v>783</v>
      </c>
      <c r="L132" s="21" t="s">
        <v>444</v>
      </c>
      <c r="N132" s="21" t="s">
        <v>784</v>
      </c>
      <c r="O132" s="21" t="s">
        <v>785</v>
      </c>
      <c r="P132" s="21" t="s">
        <v>67</v>
      </c>
    </row>
    <row r="133" spans="1:16" ht="36">
      <c r="A133" s="21">
        <v>137</v>
      </c>
      <c r="B133" s="21" t="s">
        <v>786</v>
      </c>
      <c r="C133" s="22" t="s">
        <v>787</v>
      </c>
      <c r="D133" s="21" t="s">
        <v>58</v>
      </c>
      <c r="E133" s="21" t="s">
        <v>788</v>
      </c>
      <c r="F133" s="21" t="s">
        <v>789</v>
      </c>
      <c r="G133" s="21">
        <v>15</v>
      </c>
      <c r="I133" s="21" t="s">
        <v>62</v>
      </c>
      <c r="J133" s="21" t="s">
        <v>790</v>
      </c>
      <c r="L133" s="21" t="s">
        <v>469</v>
      </c>
      <c r="O133" s="21" t="s">
        <v>791</v>
      </c>
      <c r="P133" s="21" t="s">
        <v>155</v>
      </c>
    </row>
    <row r="134" spans="1:16" ht="72">
      <c r="A134" s="21">
        <v>138</v>
      </c>
      <c r="B134" s="21" t="s">
        <v>792</v>
      </c>
      <c r="C134" s="22" t="s">
        <v>793</v>
      </c>
      <c r="D134" s="21" t="s">
        <v>58</v>
      </c>
      <c r="E134" s="21" t="s">
        <v>431</v>
      </c>
      <c r="F134" s="21" t="s">
        <v>794</v>
      </c>
      <c r="G134" s="21" t="s">
        <v>76</v>
      </c>
      <c r="I134" s="21" t="s">
        <v>476</v>
      </c>
      <c r="J134" s="21" t="s">
        <v>795</v>
      </c>
      <c r="L134" s="21" t="s">
        <v>444</v>
      </c>
      <c r="M134" s="21" t="s">
        <v>796</v>
      </c>
      <c r="O134" s="21" t="s">
        <v>797</v>
      </c>
      <c r="P134" s="21" t="s">
        <v>155</v>
      </c>
    </row>
    <row r="135" spans="1:16" ht="96">
      <c r="A135" s="21">
        <v>139</v>
      </c>
      <c r="B135" s="21" t="s">
        <v>798</v>
      </c>
      <c r="C135" s="22" t="s">
        <v>799</v>
      </c>
      <c r="D135" s="21" t="s">
        <v>58</v>
      </c>
      <c r="E135" s="21" t="s">
        <v>451</v>
      </c>
      <c r="F135" s="21" t="s">
        <v>800</v>
      </c>
      <c r="G135" s="21" t="s">
        <v>801</v>
      </c>
      <c r="I135" s="21" t="s">
        <v>476</v>
      </c>
      <c r="J135" s="21" t="s">
        <v>802</v>
      </c>
      <c r="L135" s="21" t="s">
        <v>444</v>
      </c>
      <c r="M135" s="21" t="s">
        <v>803</v>
      </c>
      <c r="N135" s="21" t="s">
        <v>804</v>
      </c>
      <c r="O135" s="21" t="s">
        <v>805</v>
      </c>
      <c r="P135" s="21" t="s">
        <v>67</v>
      </c>
    </row>
    <row r="136" spans="1:16" ht="72">
      <c r="A136" s="21">
        <v>140</v>
      </c>
      <c r="B136" s="21" t="s">
        <v>806</v>
      </c>
      <c r="C136" s="22" t="s">
        <v>807</v>
      </c>
      <c r="D136" s="21" t="s">
        <v>58</v>
      </c>
      <c r="E136" s="21" t="s">
        <v>431</v>
      </c>
      <c r="F136" s="21" t="s">
        <v>808</v>
      </c>
      <c r="G136" s="21" t="s">
        <v>809</v>
      </c>
      <c r="H136" s="21" t="s">
        <v>810</v>
      </c>
      <c r="K136" s="21" t="b">
        <v>1</v>
      </c>
      <c r="L136" s="21" t="s">
        <v>444</v>
      </c>
      <c r="P136" s="21" t="s">
        <v>67</v>
      </c>
    </row>
    <row r="137" spans="1:16" ht="96">
      <c r="A137" s="21">
        <v>141</v>
      </c>
      <c r="B137" s="21" t="s">
        <v>811</v>
      </c>
      <c r="C137" s="22" t="s">
        <v>812</v>
      </c>
      <c r="D137" s="21" t="s">
        <v>58</v>
      </c>
      <c r="E137" s="21" t="s">
        <v>431</v>
      </c>
      <c r="F137" s="21" t="s">
        <v>813</v>
      </c>
      <c r="G137" s="21" t="s">
        <v>76</v>
      </c>
      <c r="I137" s="21" t="s">
        <v>62</v>
      </c>
      <c r="J137" s="21" t="s">
        <v>814</v>
      </c>
      <c r="L137" s="21" t="s">
        <v>444</v>
      </c>
      <c r="M137" s="21" t="s">
        <v>815</v>
      </c>
      <c r="N137" s="21" t="s">
        <v>816</v>
      </c>
      <c r="O137" s="21" t="s">
        <v>817</v>
      </c>
      <c r="P137" s="21" t="s">
        <v>67</v>
      </c>
    </row>
    <row r="138" spans="1:16" ht="72">
      <c r="A138" s="21">
        <v>142</v>
      </c>
      <c r="B138" s="21" t="s">
        <v>818</v>
      </c>
      <c r="C138" s="22" t="s">
        <v>819</v>
      </c>
      <c r="D138" s="21" t="s">
        <v>58</v>
      </c>
      <c r="E138" s="21" t="s">
        <v>431</v>
      </c>
      <c r="F138" s="21" t="s">
        <v>820</v>
      </c>
      <c r="G138" s="21" t="s">
        <v>821</v>
      </c>
      <c r="H138" s="21" t="s">
        <v>822</v>
      </c>
      <c r="I138" s="21" t="s">
        <v>62</v>
      </c>
      <c r="J138" s="21" t="s">
        <v>823</v>
      </c>
      <c r="L138" s="21" t="s">
        <v>444</v>
      </c>
      <c r="M138" s="21" t="s">
        <v>824</v>
      </c>
      <c r="N138" s="21" t="s">
        <v>825</v>
      </c>
      <c r="O138" s="21" t="s">
        <v>826</v>
      </c>
      <c r="P138" s="21" t="s">
        <v>67</v>
      </c>
    </row>
    <row r="139" spans="1:16" ht="84">
      <c r="A139" s="21">
        <v>143</v>
      </c>
      <c r="B139" s="21" t="s">
        <v>827</v>
      </c>
      <c r="C139" s="22" t="s">
        <v>828</v>
      </c>
      <c r="D139" s="21" t="s">
        <v>58</v>
      </c>
      <c r="E139" s="21" t="s">
        <v>431</v>
      </c>
      <c r="F139" s="21" t="s">
        <v>829</v>
      </c>
      <c r="G139" s="21" t="s">
        <v>830</v>
      </c>
      <c r="H139" s="21" t="s">
        <v>831</v>
      </c>
      <c r="I139" s="21" t="s">
        <v>62</v>
      </c>
      <c r="J139" s="21" t="s">
        <v>832</v>
      </c>
      <c r="L139" s="21" t="s">
        <v>444</v>
      </c>
      <c r="M139" s="21" t="s">
        <v>833</v>
      </c>
      <c r="N139" s="21" t="s">
        <v>834</v>
      </c>
      <c r="O139" s="21" t="s">
        <v>835</v>
      </c>
      <c r="P139" s="21" t="s">
        <v>67</v>
      </c>
    </row>
    <row r="140" spans="1:16" ht="130.5">
      <c r="A140" s="21">
        <v>144</v>
      </c>
      <c r="B140" s="21" t="s">
        <v>836</v>
      </c>
      <c r="C140" s="22" t="s">
        <v>837</v>
      </c>
      <c r="D140" s="21" t="s">
        <v>58</v>
      </c>
      <c r="E140" s="21" t="s">
        <v>381</v>
      </c>
      <c r="F140" s="21" t="s">
        <v>838</v>
      </c>
      <c r="G140" s="21" t="s">
        <v>361</v>
      </c>
      <c r="I140" s="21" t="s">
        <v>153</v>
      </c>
      <c r="J140" s="21" t="s">
        <v>839</v>
      </c>
      <c r="L140" s="21" t="s">
        <v>469</v>
      </c>
      <c r="O140" s="21" t="s">
        <v>840</v>
      </c>
      <c r="P140" s="21" t="s">
        <v>155</v>
      </c>
    </row>
    <row r="141" spans="1:16" ht="130.5">
      <c r="A141" s="21">
        <v>145</v>
      </c>
      <c r="B141" s="21" t="s">
        <v>841</v>
      </c>
      <c r="C141" s="22" t="s">
        <v>842</v>
      </c>
      <c r="D141" s="21" t="s">
        <v>58</v>
      </c>
      <c r="E141" s="21" t="s">
        <v>451</v>
      </c>
      <c r="F141" s="21" t="s">
        <v>843</v>
      </c>
      <c r="G141" s="21" t="s">
        <v>491</v>
      </c>
      <c r="I141" s="21" t="s">
        <v>153</v>
      </c>
      <c r="J141" s="21" t="s">
        <v>844</v>
      </c>
      <c r="L141" s="21" t="s">
        <v>469</v>
      </c>
      <c r="O141" s="21" t="s">
        <v>845</v>
      </c>
      <c r="P141" s="21" t="s">
        <v>155</v>
      </c>
    </row>
    <row r="142" spans="1:16" ht="130.5">
      <c r="A142" s="21">
        <v>146</v>
      </c>
      <c r="B142" s="21" t="s">
        <v>846</v>
      </c>
      <c r="C142" s="22" t="s">
        <v>847</v>
      </c>
      <c r="D142" s="21" t="s">
        <v>58</v>
      </c>
      <c r="E142" s="21" t="s">
        <v>451</v>
      </c>
      <c r="F142" s="21" t="s">
        <v>848</v>
      </c>
      <c r="G142" s="21" t="s">
        <v>849</v>
      </c>
      <c r="I142" s="21" t="s">
        <v>153</v>
      </c>
      <c r="J142" s="21" t="s">
        <v>850</v>
      </c>
      <c r="L142" s="21" t="s">
        <v>469</v>
      </c>
      <c r="O142" s="21" t="s">
        <v>851</v>
      </c>
      <c r="P142" s="21" t="s">
        <v>155</v>
      </c>
    </row>
    <row r="143" spans="1:16" ht="274.5">
      <c r="A143" s="21">
        <v>147</v>
      </c>
      <c r="B143" s="21" t="s">
        <v>852</v>
      </c>
      <c r="C143" s="22" t="s">
        <v>853</v>
      </c>
      <c r="D143" s="21" t="s">
        <v>58</v>
      </c>
      <c r="E143" s="21" t="s">
        <v>854</v>
      </c>
      <c r="F143" s="21" t="s">
        <v>855</v>
      </c>
      <c r="G143" s="21" t="s">
        <v>849</v>
      </c>
      <c r="I143" s="21" t="s">
        <v>153</v>
      </c>
      <c r="J143" s="21" t="s">
        <v>856</v>
      </c>
      <c r="L143" s="21" t="s">
        <v>444</v>
      </c>
      <c r="O143" s="21" t="s">
        <v>857</v>
      </c>
      <c r="P143" s="21" t="s">
        <v>155</v>
      </c>
    </row>
    <row r="144" spans="1:16" ht="274.5">
      <c r="A144" s="21">
        <v>148</v>
      </c>
      <c r="B144" s="21" t="s">
        <v>858</v>
      </c>
      <c r="C144" s="22" t="s">
        <v>859</v>
      </c>
      <c r="D144" s="21" t="s">
        <v>58</v>
      </c>
      <c r="E144" s="21" t="s">
        <v>854</v>
      </c>
      <c r="F144" s="21" t="s">
        <v>860</v>
      </c>
      <c r="G144" s="21" t="s">
        <v>491</v>
      </c>
      <c r="I144" s="21" t="s">
        <v>153</v>
      </c>
      <c r="J144" s="21" t="s">
        <v>861</v>
      </c>
      <c r="L144" s="21" t="s">
        <v>444</v>
      </c>
      <c r="O144" s="21" t="s">
        <v>862</v>
      </c>
      <c r="P144" s="21" t="s">
        <v>155</v>
      </c>
    </row>
    <row r="145" spans="1:16" ht="72">
      <c r="A145" s="21">
        <v>149</v>
      </c>
      <c r="B145" s="21" t="s">
        <v>863</v>
      </c>
      <c r="C145" s="22" t="s">
        <v>864</v>
      </c>
      <c r="D145" s="21" t="s">
        <v>58</v>
      </c>
      <c r="E145" s="21" t="s">
        <v>451</v>
      </c>
      <c r="F145" s="21" t="s">
        <v>865</v>
      </c>
      <c r="G145" s="21" t="s">
        <v>411</v>
      </c>
      <c r="I145" s="21" t="s">
        <v>153</v>
      </c>
      <c r="J145" s="21" t="s">
        <v>866</v>
      </c>
      <c r="L145" s="21" t="s">
        <v>469</v>
      </c>
      <c r="O145" s="21" t="s">
        <v>867</v>
      </c>
      <c r="P145" s="21" t="s">
        <v>155</v>
      </c>
    </row>
    <row r="146" spans="1:16" ht="36">
      <c r="A146" s="21">
        <v>150</v>
      </c>
      <c r="B146" s="21" t="s">
        <v>868</v>
      </c>
      <c r="C146" s="22" t="s">
        <v>869</v>
      </c>
      <c r="D146" s="21" t="s">
        <v>58</v>
      </c>
      <c r="E146" s="21" t="s">
        <v>870</v>
      </c>
      <c r="F146" s="21" t="s">
        <v>871</v>
      </c>
      <c r="G146" s="21" t="s">
        <v>411</v>
      </c>
      <c r="I146" s="21" t="s">
        <v>153</v>
      </c>
      <c r="J146" s="21" t="s">
        <v>872</v>
      </c>
      <c r="L146" s="21" t="s">
        <v>469</v>
      </c>
      <c r="O146" s="21" t="s">
        <v>873</v>
      </c>
      <c r="P146" s="21" t="s">
        <v>155</v>
      </c>
    </row>
    <row r="147" spans="1:16" ht="48">
      <c r="A147" s="21">
        <v>151</v>
      </c>
      <c r="B147" s="21" t="s">
        <v>874</v>
      </c>
      <c r="C147" s="22" t="s">
        <v>875</v>
      </c>
      <c r="D147" s="21" t="s">
        <v>58</v>
      </c>
      <c r="E147" s="21" t="s">
        <v>431</v>
      </c>
      <c r="F147" s="21" t="s">
        <v>876</v>
      </c>
      <c r="G147" s="21" t="s">
        <v>76</v>
      </c>
      <c r="I147" s="21" t="s">
        <v>476</v>
      </c>
      <c r="J147" s="21" t="s">
        <v>877</v>
      </c>
      <c r="L147" s="21" t="s">
        <v>444</v>
      </c>
      <c r="M147" s="21" t="s">
        <v>878</v>
      </c>
      <c r="O147" s="21" t="s">
        <v>879</v>
      </c>
      <c r="P147" s="21" t="s">
        <v>155</v>
      </c>
    </row>
    <row r="148" spans="1:16" ht="226.5">
      <c r="A148" s="21">
        <v>152</v>
      </c>
      <c r="B148" s="21" t="s">
        <v>880</v>
      </c>
      <c r="C148" s="22" t="s">
        <v>881</v>
      </c>
      <c r="D148" s="21" t="s">
        <v>58</v>
      </c>
      <c r="E148" s="21" t="s">
        <v>451</v>
      </c>
      <c r="F148" s="21" t="s">
        <v>882</v>
      </c>
      <c r="G148" s="21">
        <v>7</v>
      </c>
      <c r="I148" s="21" t="s">
        <v>476</v>
      </c>
      <c r="J148" s="21" t="s">
        <v>883</v>
      </c>
      <c r="L148" s="21" t="s">
        <v>444</v>
      </c>
      <c r="O148" s="21" t="s">
        <v>884</v>
      </c>
      <c r="P148" s="21" t="s">
        <v>155</v>
      </c>
    </row>
    <row r="149" spans="1:16" ht="72">
      <c r="A149" s="21">
        <v>153</v>
      </c>
      <c r="B149" s="21" t="s">
        <v>885</v>
      </c>
      <c r="C149" s="22" t="s">
        <v>886</v>
      </c>
      <c r="D149" s="21" t="s">
        <v>58</v>
      </c>
      <c r="E149" s="21" t="s">
        <v>451</v>
      </c>
      <c r="F149" s="21" t="s">
        <v>887</v>
      </c>
      <c r="G149" s="21">
        <v>15</v>
      </c>
      <c r="I149" s="21" t="s">
        <v>476</v>
      </c>
      <c r="J149" s="21" t="s">
        <v>888</v>
      </c>
      <c r="L149" s="21" t="s">
        <v>444</v>
      </c>
      <c r="N149" s="21" t="s">
        <v>889</v>
      </c>
      <c r="O149" s="21" t="s">
        <v>890</v>
      </c>
      <c r="P149" s="21" t="s">
        <v>155</v>
      </c>
    </row>
    <row r="150" spans="1:16" ht="190.5">
      <c r="A150" s="21">
        <v>154</v>
      </c>
      <c r="B150" s="21" t="s">
        <v>891</v>
      </c>
      <c r="C150" s="22" t="s">
        <v>892</v>
      </c>
      <c r="D150" s="21" t="s">
        <v>58</v>
      </c>
      <c r="E150" s="21" t="s">
        <v>451</v>
      </c>
      <c r="F150" s="21" t="s">
        <v>893</v>
      </c>
      <c r="G150" s="21">
        <v>3</v>
      </c>
      <c r="I150" s="21" t="s">
        <v>476</v>
      </c>
      <c r="J150" s="21" t="s">
        <v>894</v>
      </c>
      <c r="L150" s="21" t="s">
        <v>444</v>
      </c>
      <c r="O150" s="21" t="s">
        <v>895</v>
      </c>
      <c r="P150" s="21" t="s">
        <v>155</v>
      </c>
    </row>
    <row r="151" spans="1:16" ht="60">
      <c r="A151" s="21">
        <v>155</v>
      </c>
      <c r="B151" s="21" t="s">
        <v>896</v>
      </c>
      <c r="C151" s="22" t="s">
        <v>897</v>
      </c>
      <c r="D151" s="21" t="s">
        <v>58</v>
      </c>
      <c r="E151" s="21" t="s">
        <v>381</v>
      </c>
      <c r="F151" s="21" t="s">
        <v>898</v>
      </c>
      <c r="G151" s="21" t="s">
        <v>76</v>
      </c>
      <c r="I151" s="21" t="s">
        <v>62</v>
      </c>
      <c r="J151" s="21" t="s">
        <v>899</v>
      </c>
      <c r="L151" s="21" t="s">
        <v>444</v>
      </c>
      <c r="M151" s="21" t="s">
        <v>900</v>
      </c>
      <c r="N151" s="21" t="s">
        <v>901</v>
      </c>
      <c r="O151" s="21" t="s">
        <v>902</v>
      </c>
      <c r="P151" s="21" t="s">
        <v>155</v>
      </c>
    </row>
    <row r="152" spans="1:16" ht="48">
      <c r="A152" s="21">
        <v>156</v>
      </c>
      <c r="B152" s="21" t="s">
        <v>903</v>
      </c>
      <c r="C152" s="22" t="s">
        <v>904</v>
      </c>
      <c r="D152" s="21" t="s">
        <v>58</v>
      </c>
      <c r="E152" s="21" t="s">
        <v>381</v>
      </c>
      <c r="F152" s="21" t="s">
        <v>905</v>
      </c>
      <c r="G152" s="21">
        <v>9001.5499999999993</v>
      </c>
      <c r="I152" s="21" t="s">
        <v>62</v>
      </c>
      <c r="J152" s="21" t="s">
        <v>906</v>
      </c>
      <c r="L152" s="21" t="s">
        <v>383</v>
      </c>
      <c r="N152" s="21" t="s">
        <v>907</v>
      </c>
      <c r="O152" s="21" t="s">
        <v>908</v>
      </c>
      <c r="P152" s="21" t="s">
        <v>163</v>
      </c>
    </row>
    <row r="153" spans="1:16" ht="60">
      <c r="A153" s="21">
        <v>157</v>
      </c>
      <c r="B153" s="21" t="s">
        <v>909</v>
      </c>
      <c r="C153" s="22" t="s">
        <v>910</v>
      </c>
      <c r="D153" s="21" t="s">
        <v>58</v>
      </c>
      <c r="E153" s="21" t="s">
        <v>451</v>
      </c>
      <c r="F153" s="21" t="s">
        <v>911</v>
      </c>
      <c r="G153" s="21">
        <v>4</v>
      </c>
      <c r="I153" s="21" t="s">
        <v>476</v>
      </c>
      <c r="J153" s="21" t="s">
        <v>912</v>
      </c>
      <c r="L153" s="21" t="s">
        <v>444</v>
      </c>
      <c r="O153" s="21" t="s">
        <v>913</v>
      </c>
      <c r="P153" s="21" t="s">
        <v>155</v>
      </c>
    </row>
    <row r="154" spans="1:16" ht="297.75">
      <c r="A154" s="21">
        <v>158</v>
      </c>
      <c r="B154" s="21" t="s">
        <v>914</v>
      </c>
      <c r="C154" s="22" t="s">
        <v>915</v>
      </c>
      <c r="D154" s="21" t="s">
        <v>58</v>
      </c>
      <c r="E154" s="21" t="s">
        <v>451</v>
      </c>
      <c r="F154" s="21" t="s">
        <v>916</v>
      </c>
      <c r="G154" s="21">
        <v>5</v>
      </c>
      <c r="I154" s="21" t="s">
        <v>476</v>
      </c>
      <c r="J154" s="21" t="s">
        <v>917</v>
      </c>
      <c r="L154" s="21" t="s">
        <v>444</v>
      </c>
      <c r="N154" s="21" t="s">
        <v>918</v>
      </c>
      <c r="O154" s="21" t="s">
        <v>919</v>
      </c>
      <c r="P154" s="21" t="s">
        <v>155</v>
      </c>
    </row>
    <row r="155" spans="1:16" ht="309.75">
      <c r="A155" s="21">
        <v>159</v>
      </c>
      <c r="B155" s="21" t="s">
        <v>920</v>
      </c>
      <c r="C155" s="22" t="s">
        <v>921</v>
      </c>
      <c r="D155" s="21" t="s">
        <v>58</v>
      </c>
      <c r="E155" s="21" t="s">
        <v>431</v>
      </c>
      <c r="F155" s="21" t="s">
        <v>922</v>
      </c>
      <c r="G155" s="21" t="s">
        <v>353</v>
      </c>
      <c r="I155" s="21" t="s">
        <v>476</v>
      </c>
      <c r="J155" s="21" t="s">
        <v>923</v>
      </c>
      <c r="L155" s="21" t="s">
        <v>444</v>
      </c>
      <c r="M155" s="21" t="s">
        <v>924</v>
      </c>
      <c r="N155" s="21" t="s">
        <v>925</v>
      </c>
      <c r="O155" s="21" t="s">
        <v>926</v>
      </c>
      <c r="P155" s="21" t="s">
        <v>155</v>
      </c>
    </row>
    <row r="156" spans="1:16" ht="96">
      <c r="A156" s="21">
        <v>160</v>
      </c>
      <c r="B156" s="21" t="s">
        <v>927</v>
      </c>
      <c r="C156" s="22" t="s">
        <v>928</v>
      </c>
      <c r="D156" s="21" t="s">
        <v>58</v>
      </c>
      <c r="E156" s="21" t="s">
        <v>451</v>
      </c>
      <c r="F156" s="21" t="s">
        <v>929</v>
      </c>
      <c r="G156" s="21">
        <v>1.08</v>
      </c>
      <c r="I156" s="21" t="s">
        <v>476</v>
      </c>
      <c r="J156" s="21" t="s">
        <v>930</v>
      </c>
      <c r="L156" s="21" t="s">
        <v>444</v>
      </c>
      <c r="O156" s="21" t="s">
        <v>931</v>
      </c>
      <c r="P156" s="21" t="s">
        <v>155</v>
      </c>
    </row>
    <row r="157" spans="1:16" ht="84">
      <c r="A157" s="21">
        <v>161</v>
      </c>
      <c r="B157" s="21" t="s">
        <v>932</v>
      </c>
      <c r="C157" s="22" t="s">
        <v>933</v>
      </c>
      <c r="D157" s="21" t="s">
        <v>58</v>
      </c>
      <c r="E157" s="21" t="s">
        <v>451</v>
      </c>
      <c r="F157" s="21" t="s">
        <v>934</v>
      </c>
      <c r="G157" s="21">
        <v>15.11</v>
      </c>
      <c r="I157" s="21" t="s">
        <v>476</v>
      </c>
      <c r="J157" s="21" t="s">
        <v>935</v>
      </c>
      <c r="L157" s="21" t="s">
        <v>444</v>
      </c>
      <c r="N157" s="21" t="s">
        <v>936</v>
      </c>
      <c r="O157" s="21" t="s">
        <v>937</v>
      </c>
      <c r="P157" s="21" t="s">
        <v>155</v>
      </c>
    </row>
    <row r="158" spans="1:16" ht="107.25">
      <c r="A158" s="21">
        <v>162</v>
      </c>
      <c r="B158" s="21" t="s">
        <v>938</v>
      </c>
      <c r="C158" s="22" t="s">
        <v>939</v>
      </c>
      <c r="D158" s="21" t="s">
        <v>58</v>
      </c>
      <c r="E158" s="21" t="s">
        <v>451</v>
      </c>
      <c r="F158" s="21" t="s">
        <v>940</v>
      </c>
      <c r="G158" s="21">
        <v>11.5</v>
      </c>
      <c r="I158" s="21" t="s">
        <v>476</v>
      </c>
      <c r="J158" s="21" t="s">
        <v>941</v>
      </c>
      <c r="L158" s="21" t="s">
        <v>444</v>
      </c>
      <c r="O158" s="21" t="s">
        <v>942</v>
      </c>
      <c r="P158" s="21" t="s">
        <v>155</v>
      </c>
    </row>
    <row r="159" spans="1:16" ht="60">
      <c r="A159" s="21">
        <v>163</v>
      </c>
      <c r="B159" s="21" t="s">
        <v>943</v>
      </c>
      <c r="C159" s="22" t="s">
        <v>944</v>
      </c>
      <c r="D159" s="21" t="s">
        <v>58</v>
      </c>
      <c r="E159" s="21" t="s">
        <v>451</v>
      </c>
      <c r="F159" s="21" t="s">
        <v>945</v>
      </c>
      <c r="G159" s="21">
        <v>11.81</v>
      </c>
      <c r="I159" s="21" t="s">
        <v>476</v>
      </c>
      <c r="J159" s="21" t="s">
        <v>946</v>
      </c>
      <c r="L159" s="21" t="s">
        <v>444</v>
      </c>
      <c r="O159" s="21" t="s">
        <v>947</v>
      </c>
      <c r="P159" s="21" t="s">
        <v>155</v>
      </c>
    </row>
    <row r="160" spans="1:16" ht="190.5">
      <c r="A160" s="21">
        <v>164</v>
      </c>
      <c r="B160" s="21" t="s">
        <v>948</v>
      </c>
      <c r="C160" s="22" t="s">
        <v>949</v>
      </c>
      <c r="D160" s="21" t="s">
        <v>58</v>
      </c>
      <c r="E160" s="21" t="s">
        <v>451</v>
      </c>
      <c r="F160" s="21" t="s">
        <v>950</v>
      </c>
      <c r="G160" s="21">
        <v>14.11</v>
      </c>
      <c r="I160" s="21" t="s">
        <v>476</v>
      </c>
      <c r="J160" s="21" t="s">
        <v>951</v>
      </c>
      <c r="L160" s="21" t="s">
        <v>444</v>
      </c>
      <c r="N160" s="21" t="s">
        <v>952</v>
      </c>
      <c r="O160" s="21" t="s">
        <v>953</v>
      </c>
      <c r="P160" s="21" t="s">
        <v>155</v>
      </c>
    </row>
    <row r="161" spans="1:16" ht="48">
      <c r="A161" s="21">
        <v>165</v>
      </c>
      <c r="B161" s="21" t="s">
        <v>954</v>
      </c>
      <c r="C161" s="22" t="s">
        <v>955</v>
      </c>
      <c r="D161" s="21" t="s">
        <v>58</v>
      </c>
      <c r="E161" s="21" t="s">
        <v>451</v>
      </c>
      <c r="F161" s="21" t="s">
        <v>956</v>
      </c>
      <c r="G161" s="21">
        <v>40.11</v>
      </c>
      <c r="I161" s="21" t="s">
        <v>476</v>
      </c>
      <c r="J161" s="21" t="s">
        <v>957</v>
      </c>
      <c r="L161" s="21" t="s">
        <v>444</v>
      </c>
      <c r="O161" s="21" t="s">
        <v>958</v>
      </c>
      <c r="P161" s="21" t="s">
        <v>155</v>
      </c>
    </row>
    <row r="162" spans="1:16" ht="214.5">
      <c r="A162" s="21">
        <v>166</v>
      </c>
      <c r="B162" s="21" t="s">
        <v>959</v>
      </c>
      <c r="C162" s="22" t="s">
        <v>960</v>
      </c>
      <c r="D162" s="21" t="s">
        <v>58</v>
      </c>
      <c r="E162" s="21" t="s">
        <v>451</v>
      </c>
      <c r="F162" s="21" t="s">
        <v>961</v>
      </c>
      <c r="G162" s="21">
        <v>13.31</v>
      </c>
      <c r="I162" s="21" t="s">
        <v>476</v>
      </c>
      <c r="J162" s="21" t="s">
        <v>962</v>
      </c>
      <c r="L162" s="21" t="s">
        <v>444</v>
      </c>
      <c r="O162" s="21" t="s">
        <v>963</v>
      </c>
      <c r="P162" s="21" t="s">
        <v>155</v>
      </c>
    </row>
    <row r="163" spans="1:16" ht="238.5">
      <c r="A163" s="21">
        <v>167</v>
      </c>
      <c r="B163" s="21" t="s">
        <v>964</v>
      </c>
      <c r="C163" s="22" t="s">
        <v>965</v>
      </c>
      <c r="D163" s="21" t="s">
        <v>58</v>
      </c>
      <c r="E163" s="21" t="s">
        <v>431</v>
      </c>
      <c r="F163" s="21" t="s">
        <v>966</v>
      </c>
      <c r="G163" s="21" t="s">
        <v>801</v>
      </c>
      <c r="I163" s="21" t="s">
        <v>476</v>
      </c>
      <c r="J163" s="21" t="s">
        <v>967</v>
      </c>
      <c r="L163" s="21" t="s">
        <v>469</v>
      </c>
      <c r="M163" s="21" t="s">
        <v>968</v>
      </c>
      <c r="O163" s="21" t="s">
        <v>969</v>
      </c>
      <c r="P163" s="21" t="s">
        <v>155</v>
      </c>
    </row>
    <row r="164" spans="1:16" ht="142.5">
      <c r="A164" s="21">
        <v>168</v>
      </c>
      <c r="B164" s="21" t="s">
        <v>970</v>
      </c>
      <c r="C164" s="22" t="s">
        <v>971</v>
      </c>
      <c r="D164" s="21" t="s">
        <v>58</v>
      </c>
      <c r="E164" s="21" t="s">
        <v>451</v>
      </c>
      <c r="F164" s="21" t="s">
        <v>972</v>
      </c>
      <c r="G164" s="21">
        <v>11.11</v>
      </c>
      <c r="I164" s="21" t="s">
        <v>476</v>
      </c>
      <c r="J164" s="21" t="s">
        <v>973</v>
      </c>
      <c r="L164" s="21" t="s">
        <v>444</v>
      </c>
      <c r="O164" s="21" t="s">
        <v>974</v>
      </c>
      <c r="P164" s="21" t="s">
        <v>155</v>
      </c>
    </row>
    <row r="165" spans="1:16" ht="142.5">
      <c r="A165" s="21">
        <v>169</v>
      </c>
      <c r="B165" s="21" t="s">
        <v>975</v>
      </c>
      <c r="C165" s="22" t="s">
        <v>976</v>
      </c>
      <c r="D165" s="21" t="s">
        <v>58</v>
      </c>
      <c r="E165" s="21" t="s">
        <v>870</v>
      </c>
      <c r="F165" s="21" t="s">
        <v>977</v>
      </c>
      <c r="G165" s="21">
        <v>30</v>
      </c>
      <c r="I165" s="21" t="s">
        <v>476</v>
      </c>
      <c r="J165" s="21" t="s">
        <v>978</v>
      </c>
      <c r="L165" s="21" t="s">
        <v>444</v>
      </c>
      <c r="P165" s="21" t="s">
        <v>155</v>
      </c>
    </row>
    <row r="166" spans="1:16" ht="118.5">
      <c r="A166" s="21">
        <v>170</v>
      </c>
      <c r="B166" s="21" t="s">
        <v>979</v>
      </c>
      <c r="C166" s="22" t="s">
        <v>980</v>
      </c>
      <c r="D166" s="21" t="s">
        <v>58</v>
      </c>
      <c r="E166" s="21" t="s">
        <v>381</v>
      </c>
      <c r="F166" s="21" t="s">
        <v>981</v>
      </c>
      <c r="G166" s="21" t="s">
        <v>982</v>
      </c>
      <c r="I166" s="21" t="s">
        <v>62</v>
      </c>
      <c r="J166" s="21" t="s">
        <v>983</v>
      </c>
      <c r="L166" s="21" t="s">
        <v>383</v>
      </c>
      <c r="M166" s="21" t="s">
        <v>984</v>
      </c>
      <c r="N166" s="21" t="s">
        <v>985</v>
      </c>
      <c r="O166" s="21" t="s">
        <v>986</v>
      </c>
      <c r="P166" s="21" t="s">
        <v>155</v>
      </c>
    </row>
    <row r="167" spans="1:16" ht="96">
      <c r="A167" s="21">
        <v>171</v>
      </c>
      <c r="B167" s="21" t="s">
        <v>987</v>
      </c>
      <c r="C167" s="22" t="s">
        <v>988</v>
      </c>
      <c r="D167" s="21" t="s">
        <v>58</v>
      </c>
      <c r="E167" s="21" t="s">
        <v>431</v>
      </c>
      <c r="F167" s="21" t="s">
        <v>989</v>
      </c>
      <c r="G167" s="21" t="s">
        <v>990</v>
      </c>
      <c r="I167" s="21" t="s">
        <v>62</v>
      </c>
      <c r="J167" s="21" t="s">
        <v>991</v>
      </c>
      <c r="L167" s="21" t="s">
        <v>497</v>
      </c>
      <c r="M167" s="21" t="s">
        <v>992</v>
      </c>
      <c r="N167" s="21" t="s">
        <v>993</v>
      </c>
      <c r="O167" s="21" t="s">
        <v>994</v>
      </c>
      <c r="P167" s="21" t="s">
        <v>155</v>
      </c>
    </row>
    <row r="168" spans="1:16" ht="118.5">
      <c r="A168" s="21">
        <v>172</v>
      </c>
      <c r="B168" s="21" t="s">
        <v>995</v>
      </c>
      <c r="C168" s="22" t="s">
        <v>996</v>
      </c>
      <c r="D168" s="21" t="s">
        <v>58</v>
      </c>
      <c r="E168" s="21" t="s">
        <v>431</v>
      </c>
      <c r="F168" s="21" t="s">
        <v>997</v>
      </c>
      <c r="G168" s="21">
        <v>50.5</v>
      </c>
      <c r="I168" s="21" t="s">
        <v>476</v>
      </c>
      <c r="J168" s="21" t="s">
        <v>998</v>
      </c>
      <c r="L168" s="21" t="s">
        <v>469</v>
      </c>
      <c r="O168" s="21" t="s">
        <v>999</v>
      </c>
      <c r="P168" s="21" t="s">
        <v>155</v>
      </c>
    </row>
    <row r="169" spans="1:16" ht="250.5">
      <c r="A169" s="21">
        <v>173</v>
      </c>
      <c r="B169" s="21" t="s">
        <v>1000</v>
      </c>
      <c r="C169" s="22" t="s">
        <v>1001</v>
      </c>
      <c r="D169" s="21" t="s">
        <v>58</v>
      </c>
      <c r="E169" s="21" t="s">
        <v>854</v>
      </c>
      <c r="F169" s="21" t="s">
        <v>1002</v>
      </c>
      <c r="G169" s="21" t="s">
        <v>106</v>
      </c>
      <c r="I169" s="21" t="s">
        <v>62</v>
      </c>
      <c r="J169" s="21" t="s">
        <v>1003</v>
      </c>
      <c r="L169" s="21" t="s">
        <v>444</v>
      </c>
      <c r="P169" s="21" t="s">
        <v>67</v>
      </c>
    </row>
    <row r="170" spans="1:16" ht="190.5">
      <c r="A170" s="21">
        <v>174</v>
      </c>
      <c r="B170" s="21" t="s">
        <v>1004</v>
      </c>
      <c r="C170" s="22" t="s">
        <v>1005</v>
      </c>
      <c r="D170" s="21" t="s">
        <v>58</v>
      </c>
      <c r="E170" s="21" t="s">
        <v>1006</v>
      </c>
      <c r="F170" s="21" t="s">
        <v>1002</v>
      </c>
      <c r="G170" s="21" t="s">
        <v>106</v>
      </c>
      <c r="H170" s="21" t="s">
        <v>1007</v>
      </c>
      <c r="I170" s="21" t="s">
        <v>194</v>
      </c>
      <c r="J170" s="21" t="s">
        <v>1003</v>
      </c>
      <c r="L170" s="21" t="s">
        <v>1008</v>
      </c>
      <c r="N170" s="21" t="s">
        <v>1009</v>
      </c>
      <c r="O170" s="21" t="s">
        <v>1010</v>
      </c>
      <c r="P170" s="21" t="s">
        <v>67</v>
      </c>
    </row>
    <row r="171" spans="1:16" ht="107.25">
      <c r="A171" s="21">
        <v>175</v>
      </c>
      <c r="B171" s="21" t="s">
        <v>1011</v>
      </c>
      <c r="C171" s="22" t="s">
        <v>1012</v>
      </c>
      <c r="D171" s="21" t="s">
        <v>58</v>
      </c>
      <c r="E171" s="21" t="s">
        <v>1013</v>
      </c>
      <c r="F171" s="21" t="s">
        <v>1014</v>
      </c>
      <c r="G171" s="21">
        <v>93.22</v>
      </c>
      <c r="I171" s="21" t="s">
        <v>476</v>
      </c>
      <c r="J171" s="21" t="s">
        <v>1015</v>
      </c>
      <c r="L171" s="21" t="s">
        <v>469</v>
      </c>
      <c r="N171" s="21" t="s">
        <v>1016</v>
      </c>
      <c r="O171" s="21" t="s">
        <v>1017</v>
      </c>
      <c r="P171" s="21" t="s">
        <v>155</v>
      </c>
    </row>
    <row r="172" spans="1:16" ht="48">
      <c r="A172" s="21">
        <v>176</v>
      </c>
      <c r="B172" s="21" t="s">
        <v>1018</v>
      </c>
      <c r="C172" s="22" t="s">
        <v>1019</v>
      </c>
      <c r="D172" s="21" t="s">
        <v>58</v>
      </c>
      <c r="E172" s="21" t="s">
        <v>1013</v>
      </c>
      <c r="F172" s="21" t="s">
        <v>1020</v>
      </c>
      <c r="G172" s="21">
        <v>121.1</v>
      </c>
      <c r="I172" s="21" t="s">
        <v>62</v>
      </c>
      <c r="J172" s="21" t="s">
        <v>1021</v>
      </c>
      <c r="L172" s="21" t="s">
        <v>444</v>
      </c>
      <c r="N172" s="21" t="s">
        <v>1022</v>
      </c>
      <c r="O172" s="21" t="s">
        <v>1023</v>
      </c>
      <c r="P172" s="21" t="s">
        <v>155</v>
      </c>
    </row>
    <row r="173" spans="1:16" ht="178.5">
      <c r="A173" s="21">
        <v>177</v>
      </c>
      <c r="B173" s="21" t="s">
        <v>1024</v>
      </c>
      <c r="C173" s="22" t="s">
        <v>1025</v>
      </c>
      <c r="D173" s="21" t="s">
        <v>58</v>
      </c>
      <c r="E173" s="21" t="s">
        <v>451</v>
      </c>
      <c r="F173" s="21" t="s">
        <v>1026</v>
      </c>
      <c r="G173" s="21">
        <v>19.11</v>
      </c>
      <c r="I173" s="21" t="s">
        <v>476</v>
      </c>
      <c r="J173" s="21" t="s">
        <v>1027</v>
      </c>
      <c r="L173" s="21" t="s">
        <v>469</v>
      </c>
      <c r="N173" s="21" t="s">
        <v>1028</v>
      </c>
      <c r="O173" s="21" t="s">
        <v>1029</v>
      </c>
      <c r="P173" s="21" t="s">
        <v>155</v>
      </c>
    </row>
    <row r="174" spans="1:16" ht="60">
      <c r="A174" s="21">
        <v>178</v>
      </c>
      <c r="B174" s="21" t="s">
        <v>1030</v>
      </c>
      <c r="C174" s="22" t="s">
        <v>1031</v>
      </c>
      <c r="D174" s="21" t="s">
        <v>58</v>
      </c>
      <c r="E174" s="21" t="s">
        <v>1013</v>
      </c>
      <c r="F174" s="21" t="s">
        <v>1032</v>
      </c>
      <c r="G174" s="21">
        <v>9.82</v>
      </c>
      <c r="I174" s="21" t="s">
        <v>62</v>
      </c>
      <c r="J174" s="21" t="s">
        <v>1033</v>
      </c>
      <c r="L174" s="21" t="s">
        <v>1034</v>
      </c>
      <c r="N174" s="21" t="s">
        <v>1035</v>
      </c>
      <c r="O174" s="21" t="s">
        <v>1036</v>
      </c>
      <c r="P174" s="21" t="s">
        <v>163</v>
      </c>
    </row>
    <row r="175" spans="1:16" ht="118.5">
      <c r="A175" s="21">
        <v>179</v>
      </c>
      <c r="B175" s="21" t="s">
        <v>1037</v>
      </c>
      <c r="C175" s="22" t="s">
        <v>1038</v>
      </c>
      <c r="D175" s="21" t="s">
        <v>58</v>
      </c>
      <c r="E175" s="21" t="s">
        <v>1039</v>
      </c>
      <c r="F175" s="21" t="s">
        <v>1040</v>
      </c>
      <c r="H175" s="21" t="s">
        <v>1041</v>
      </c>
      <c r="I175" s="21" t="s">
        <v>62</v>
      </c>
      <c r="J175" s="21" t="s">
        <v>1042</v>
      </c>
      <c r="L175" s="21" t="s">
        <v>497</v>
      </c>
      <c r="N175" s="21" t="s">
        <v>1043</v>
      </c>
      <c r="O175" s="21" t="s">
        <v>1044</v>
      </c>
      <c r="P175" s="21" t="s">
        <v>67</v>
      </c>
    </row>
    <row r="176" spans="1:16" ht="130.5">
      <c r="A176" s="21">
        <v>180</v>
      </c>
      <c r="B176" s="21" t="s">
        <v>1045</v>
      </c>
      <c r="C176" s="22" t="s">
        <v>1046</v>
      </c>
      <c r="D176" s="21" t="s">
        <v>58</v>
      </c>
      <c r="E176" s="21" t="s">
        <v>451</v>
      </c>
      <c r="F176" s="21" t="s">
        <v>1047</v>
      </c>
      <c r="G176" s="21">
        <v>15.89</v>
      </c>
      <c r="I176" s="21" t="s">
        <v>476</v>
      </c>
      <c r="J176" s="21" t="s">
        <v>1048</v>
      </c>
      <c r="L176" s="21" t="s">
        <v>444</v>
      </c>
      <c r="O176" s="21" t="s">
        <v>1049</v>
      </c>
      <c r="P176" s="21" t="s">
        <v>155</v>
      </c>
    </row>
    <row r="177" spans="1:16" ht="130.5">
      <c r="A177" s="21">
        <v>181</v>
      </c>
      <c r="B177" s="21" t="s">
        <v>1050</v>
      </c>
      <c r="C177" s="22" t="s">
        <v>1051</v>
      </c>
      <c r="D177" s="21" t="s">
        <v>58</v>
      </c>
      <c r="E177" s="21" t="s">
        <v>431</v>
      </c>
      <c r="F177" s="21" t="s">
        <v>1052</v>
      </c>
      <c r="H177" s="21" t="s">
        <v>1053</v>
      </c>
      <c r="I177" s="21" t="s">
        <v>62</v>
      </c>
      <c r="J177" s="21" t="s">
        <v>1054</v>
      </c>
      <c r="L177" s="21" t="s">
        <v>444</v>
      </c>
      <c r="N177" s="21" t="s">
        <v>1055</v>
      </c>
      <c r="O177" s="21" t="s">
        <v>1056</v>
      </c>
      <c r="P177" s="21" t="s">
        <v>67</v>
      </c>
    </row>
    <row r="178" spans="1:16" ht="154.5">
      <c r="A178" s="21">
        <v>182</v>
      </c>
      <c r="B178" s="21" t="s">
        <v>1057</v>
      </c>
      <c r="C178" s="22" t="s">
        <v>1058</v>
      </c>
      <c r="D178" s="21" t="s">
        <v>58</v>
      </c>
      <c r="E178" s="21" t="s">
        <v>474</v>
      </c>
      <c r="F178" s="21" t="s">
        <v>1059</v>
      </c>
      <c r="H178" s="21" t="s">
        <v>1060</v>
      </c>
      <c r="I178" s="21" t="s">
        <v>476</v>
      </c>
      <c r="J178" s="21" t="s">
        <v>1061</v>
      </c>
      <c r="L178" s="21" t="s">
        <v>469</v>
      </c>
      <c r="O178" s="21" t="s">
        <v>1062</v>
      </c>
      <c r="P178" s="21" t="s">
        <v>163</v>
      </c>
    </row>
    <row r="179" spans="1:16" ht="60">
      <c r="A179" s="21">
        <v>183</v>
      </c>
      <c r="B179" s="21" t="s">
        <v>691</v>
      </c>
      <c r="C179" s="22" t="s">
        <v>1063</v>
      </c>
      <c r="D179" s="21" t="s">
        <v>58</v>
      </c>
      <c r="E179" s="21" t="s">
        <v>1064</v>
      </c>
      <c r="F179" s="21" t="s">
        <v>1065</v>
      </c>
      <c r="G179" s="21">
        <v>11.11</v>
      </c>
      <c r="I179" s="21" t="s">
        <v>62</v>
      </c>
      <c r="J179" s="21" t="s">
        <v>1066</v>
      </c>
      <c r="L179" s="21" t="s">
        <v>383</v>
      </c>
      <c r="O179" s="21" t="s">
        <v>1067</v>
      </c>
      <c r="P179" s="21" t="s">
        <v>163</v>
      </c>
    </row>
    <row r="180" spans="1:16" ht="409.6">
      <c r="A180" s="21">
        <v>184</v>
      </c>
      <c r="B180" s="21" t="s">
        <v>1068</v>
      </c>
      <c r="C180" s="22" t="s">
        <v>1069</v>
      </c>
      <c r="D180" s="21" t="s">
        <v>58</v>
      </c>
      <c r="E180" s="21" t="s">
        <v>431</v>
      </c>
      <c r="F180" s="21" t="s">
        <v>1070</v>
      </c>
      <c r="G180" s="21" t="s">
        <v>76</v>
      </c>
      <c r="I180" s="21" t="s">
        <v>587</v>
      </c>
      <c r="J180" s="21" t="s">
        <v>1071</v>
      </c>
      <c r="L180" s="21" t="s">
        <v>444</v>
      </c>
      <c r="M180" s="21" t="s">
        <v>1072</v>
      </c>
      <c r="O180" s="21" t="s">
        <v>1073</v>
      </c>
      <c r="P180" s="21" t="s">
        <v>155</v>
      </c>
    </row>
    <row r="181" spans="1:16" ht="84">
      <c r="A181" s="21">
        <v>185</v>
      </c>
      <c r="B181" s="21" t="s">
        <v>1074</v>
      </c>
      <c r="C181" s="22" t="s">
        <v>1075</v>
      </c>
      <c r="D181" s="21" t="s">
        <v>58</v>
      </c>
      <c r="E181" s="21" t="s">
        <v>431</v>
      </c>
      <c r="F181" s="21" t="s">
        <v>1076</v>
      </c>
      <c r="G181" s="21" t="s">
        <v>1077</v>
      </c>
      <c r="I181" s="21" t="s">
        <v>587</v>
      </c>
      <c r="J181" s="21" t="s">
        <v>1078</v>
      </c>
      <c r="L181" s="21" t="s">
        <v>469</v>
      </c>
      <c r="M181" s="21" t="s">
        <v>1079</v>
      </c>
      <c r="O181" s="21" t="s">
        <v>1080</v>
      </c>
      <c r="P181" s="21" t="s">
        <v>155</v>
      </c>
    </row>
    <row r="182" spans="1:16" ht="409.6">
      <c r="A182" s="21">
        <v>186</v>
      </c>
      <c r="B182" s="21" t="s">
        <v>1081</v>
      </c>
      <c r="C182" s="22" t="s">
        <v>1082</v>
      </c>
      <c r="D182" s="21" t="s">
        <v>58</v>
      </c>
      <c r="E182" s="21" t="s">
        <v>431</v>
      </c>
      <c r="F182" s="21" t="s">
        <v>1083</v>
      </c>
      <c r="G182" s="21" t="s">
        <v>801</v>
      </c>
      <c r="I182" s="21" t="s">
        <v>587</v>
      </c>
      <c r="J182" s="21" t="s">
        <v>1084</v>
      </c>
      <c r="L182" s="21" t="s">
        <v>444</v>
      </c>
      <c r="M182" s="21" t="s">
        <v>1085</v>
      </c>
      <c r="O182" s="21" t="s">
        <v>1086</v>
      </c>
      <c r="P182" s="21" t="s">
        <v>155</v>
      </c>
    </row>
    <row r="183" spans="1:16" ht="409.6">
      <c r="A183" s="21">
        <v>187</v>
      </c>
      <c r="B183" s="21" t="s">
        <v>1087</v>
      </c>
      <c r="C183" s="22" t="s">
        <v>1088</v>
      </c>
      <c r="D183" s="21" t="s">
        <v>58</v>
      </c>
      <c r="E183" s="21" t="s">
        <v>431</v>
      </c>
      <c r="F183" s="21" t="s">
        <v>1089</v>
      </c>
      <c r="G183" s="21" t="s">
        <v>283</v>
      </c>
      <c r="I183" s="21" t="s">
        <v>587</v>
      </c>
      <c r="J183" s="21" t="s">
        <v>1090</v>
      </c>
      <c r="L183" s="21" t="s">
        <v>444</v>
      </c>
      <c r="M183" s="21" t="s">
        <v>1091</v>
      </c>
      <c r="O183" s="21" t="s">
        <v>1092</v>
      </c>
      <c r="P183" s="21" t="s">
        <v>155</v>
      </c>
    </row>
    <row r="184" spans="1:16" ht="409.6">
      <c r="A184" s="21">
        <v>188</v>
      </c>
      <c r="B184" s="21" t="s">
        <v>1093</v>
      </c>
      <c r="C184" s="22" t="s">
        <v>1094</v>
      </c>
      <c r="D184" s="21" t="s">
        <v>58</v>
      </c>
      <c r="E184" s="21" t="s">
        <v>431</v>
      </c>
      <c r="F184" s="21" t="s">
        <v>1095</v>
      </c>
      <c r="G184" s="21" t="s">
        <v>1096</v>
      </c>
      <c r="H184" s="21" t="s">
        <v>1097</v>
      </c>
      <c r="I184" s="21" t="s">
        <v>587</v>
      </c>
      <c r="J184" s="21" t="s">
        <v>1098</v>
      </c>
      <c r="L184" s="21" t="s">
        <v>469</v>
      </c>
      <c r="M184" s="21" t="s">
        <v>1099</v>
      </c>
      <c r="O184" s="21" t="s">
        <v>1100</v>
      </c>
      <c r="P184" s="21" t="s">
        <v>155</v>
      </c>
    </row>
    <row r="185" spans="1:16" ht="262.5">
      <c r="A185" s="21">
        <v>189</v>
      </c>
      <c r="B185" s="21" t="s">
        <v>1101</v>
      </c>
      <c r="C185" s="22" t="s">
        <v>1102</v>
      </c>
      <c r="D185" s="21" t="s">
        <v>58</v>
      </c>
      <c r="E185" s="21" t="s">
        <v>1103</v>
      </c>
      <c r="F185" s="21" t="s">
        <v>1104</v>
      </c>
      <c r="G185" s="21">
        <v>1</v>
      </c>
      <c r="I185" s="21" t="s">
        <v>476</v>
      </c>
      <c r="J185" s="21" t="s">
        <v>1105</v>
      </c>
      <c r="L185" s="21" t="s">
        <v>469</v>
      </c>
      <c r="O185" s="21" t="s">
        <v>1106</v>
      </c>
      <c r="P185" s="21" t="s">
        <v>155</v>
      </c>
    </row>
    <row r="186" spans="1:16" ht="190.5">
      <c r="A186" s="21">
        <v>190</v>
      </c>
      <c r="B186" s="21" t="s">
        <v>1107</v>
      </c>
      <c r="C186" s="22" t="s">
        <v>1108</v>
      </c>
      <c r="D186" s="21" t="s">
        <v>58</v>
      </c>
      <c r="E186" s="21" t="s">
        <v>1109</v>
      </c>
      <c r="F186" s="21" t="s">
        <v>1110</v>
      </c>
      <c r="G186" s="21" t="s">
        <v>1111</v>
      </c>
      <c r="I186" s="21" t="s">
        <v>476</v>
      </c>
      <c r="J186" s="21" t="s">
        <v>1112</v>
      </c>
      <c r="L186" s="21" t="s">
        <v>469</v>
      </c>
      <c r="M186" s="21" t="s">
        <v>1113</v>
      </c>
      <c r="O186" s="21" t="s">
        <v>1114</v>
      </c>
      <c r="P186" s="21" t="s">
        <v>155</v>
      </c>
    </row>
    <row r="187" spans="1:16" ht="130.5">
      <c r="A187" s="21">
        <v>191</v>
      </c>
      <c r="B187" s="21" t="s">
        <v>1115</v>
      </c>
      <c r="C187" s="22" t="s">
        <v>1116</v>
      </c>
      <c r="D187" s="21" t="s">
        <v>58</v>
      </c>
      <c r="E187" s="21" t="s">
        <v>1109</v>
      </c>
      <c r="F187" s="21" t="s">
        <v>1117</v>
      </c>
      <c r="G187" s="21" t="s">
        <v>333</v>
      </c>
      <c r="I187" s="21" t="s">
        <v>476</v>
      </c>
      <c r="J187" s="21" t="s">
        <v>1118</v>
      </c>
      <c r="L187" s="21" t="s">
        <v>469</v>
      </c>
      <c r="M187" s="21" t="s">
        <v>1119</v>
      </c>
      <c r="O187" s="21" t="s">
        <v>1120</v>
      </c>
      <c r="P187" s="21" t="s">
        <v>155</v>
      </c>
    </row>
    <row r="188" spans="1:16" ht="409.6">
      <c r="A188" s="21">
        <v>192</v>
      </c>
      <c r="B188" s="21" t="s">
        <v>1121</v>
      </c>
      <c r="C188" s="22" t="s">
        <v>1122</v>
      </c>
      <c r="D188" s="21" t="s">
        <v>58</v>
      </c>
      <c r="E188" s="21" t="s">
        <v>1109</v>
      </c>
      <c r="F188" s="21" t="s">
        <v>1123</v>
      </c>
      <c r="G188" s="21">
        <v>2</v>
      </c>
      <c r="I188" s="21" t="s">
        <v>476</v>
      </c>
      <c r="J188" s="21" t="s">
        <v>1124</v>
      </c>
      <c r="L188" s="21" t="s">
        <v>444</v>
      </c>
      <c r="O188" s="21" t="s">
        <v>1125</v>
      </c>
      <c r="P188" s="21" t="s">
        <v>155</v>
      </c>
    </row>
    <row r="189" spans="1:16" ht="48">
      <c r="A189" s="21">
        <v>193</v>
      </c>
      <c r="B189" s="21" t="s">
        <v>1126</v>
      </c>
      <c r="C189" s="22" t="s">
        <v>1127</v>
      </c>
      <c r="D189" s="21" t="s">
        <v>58</v>
      </c>
      <c r="E189" s="21" t="s">
        <v>381</v>
      </c>
      <c r="F189" s="21" t="s">
        <v>1128</v>
      </c>
      <c r="I189" s="21" t="s">
        <v>1129</v>
      </c>
      <c r="J189" s="21" t="s">
        <v>1130</v>
      </c>
      <c r="L189" s="21" t="s">
        <v>1131</v>
      </c>
      <c r="P189" s="21" t="s">
        <v>155</v>
      </c>
    </row>
    <row r="190" spans="1:16" ht="48">
      <c r="A190" s="21">
        <v>194</v>
      </c>
      <c r="B190" s="21" t="s">
        <v>1132</v>
      </c>
      <c r="C190" s="22" t="s">
        <v>1133</v>
      </c>
      <c r="D190" s="21" t="s">
        <v>58</v>
      </c>
      <c r="E190" s="21" t="s">
        <v>381</v>
      </c>
      <c r="F190" s="21" t="s">
        <v>1134</v>
      </c>
      <c r="H190" s="21" t="s">
        <v>1135</v>
      </c>
      <c r="I190" s="21" t="s">
        <v>62</v>
      </c>
      <c r="J190" s="21" t="s">
        <v>1136</v>
      </c>
      <c r="L190" s="21" t="s">
        <v>1131</v>
      </c>
      <c r="P190" s="21" t="s">
        <v>67</v>
      </c>
    </row>
    <row r="191" spans="1:16" ht="118.5">
      <c r="A191" s="21">
        <v>195</v>
      </c>
      <c r="B191" s="21" t="s">
        <v>1137</v>
      </c>
      <c r="C191" s="22" t="s">
        <v>1138</v>
      </c>
      <c r="D191" s="21" t="s">
        <v>58</v>
      </c>
      <c r="E191" s="21" t="s">
        <v>1139</v>
      </c>
      <c r="F191" s="21" t="s">
        <v>1140</v>
      </c>
      <c r="I191" s="21" t="s">
        <v>62</v>
      </c>
      <c r="J191" s="21" t="s">
        <v>1141</v>
      </c>
      <c r="L191" s="21" t="s">
        <v>383</v>
      </c>
      <c r="N191" s="21" t="s">
        <v>1142</v>
      </c>
      <c r="O191" s="21" t="s">
        <v>1143</v>
      </c>
      <c r="P191" s="21" t="s">
        <v>67</v>
      </c>
    </row>
    <row r="192" spans="1:16" ht="48">
      <c r="A192" s="21">
        <v>196</v>
      </c>
      <c r="B192" s="21" t="s">
        <v>1144</v>
      </c>
      <c r="C192" s="22" t="s">
        <v>1145</v>
      </c>
      <c r="D192" s="21" t="s">
        <v>58</v>
      </c>
      <c r="E192" s="21" t="s">
        <v>567</v>
      </c>
      <c r="F192" s="21" t="s">
        <v>1146</v>
      </c>
      <c r="G192" s="21">
        <v>10.220000000000001</v>
      </c>
      <c r="I192" s="21" t="s">
        <v>62</v>
      </c>
      <c r="J192" s="21" t="s">
        <v>1147</v>
      </c>
      <c r="L192" s="21" t="s">
        <v>571</v>
      </c>
      <c r="O192" s="21" t="s">
        <v>1148</v>
      </c>
      <c r="P192" s="21" t="s">
        <v>163</v>
      </c>
    </row>
    <row r="193" spans="1:16" ht="36">
      <c r="A193" s="21">
        <v>197</v>
      </c>
      <c r="B193" s="21" t="s">
        <v>164</v>
      </c>
      <c r="C193" s="22" t="s">
        <v>165</v>
      </c>
      <c r="D193" s="21" t="s">
        <v>58</v>
      </c>
      <c r="E193" s="21" t="s">
        <v>567</v>
      </c>
      <c r="F193" s="21" t="s">
        <v>1149</v>
      </c>
      <c r="G193" s="21">
        <v>19.940000000000001</v>
      </c>
      <c r="I193" s="21" t="s">
        <v>62</v>
      </c>
      <c r="J193" s="21" t="s">
        <v>167</v>
      </c>
      <c r="L193" s="21" t="s">
        <v>571</v>
      </c>
      <c r="P193" s="21" t="s">
        <v>163</v>
      </c>
    </row>
    <row r="194" spans="1:16" ht="36">
      <c r="A194" s="21">
        <v>198</v>
      </c>
      <c r="B194" s="21" t="s">
        <v>1150</v>
      </c>
      <c r="C194" s="22" t="s">
        <v>1151</v>
      </c>
      <c r="D194" s="21" t="s">
        <v>58</v>
      </c>
      <c r="E194" s="21" t="s">
        <v>567</v>
      </c>
      <c r="F194" s="21" t="s">
        <v>1152</v>
      </c>
      <c r="G194" s="21">
        <v>1.5</v>
      </c>
      <c r="H194" s="21" t="s">
        <v>1153</v>
      </c>
      <c r="I194" s="21" t="s">
        <v>62</v>
      </c>
      <c r="J194" s="21" t="s">
        <v>1154</v>
      </c>
      <c r="L194" s="21" t="s">
        <v>571</v>
      </c>
      <c r="P194" s="21" t="s">
        <v>163</v>
      </c>
    </row>
    <row r="195" spans="1:16" ht="48">
      <c r="A195" s="21">
        <v>199</v>
      </c>
      <c r="B195" s="21" t="s">
        <v>463</v>
      </c>
      <c r="C195" s="22" t="s">
        <v>1155</v>
      </c>
      <c r="D195" s="21" t="s">
        <v>58</v>
      </c>
      <c r="E195" s="21" t="s">
        <v>381</v>
      </c>
      <c r="F195" s="21" t="s">
        <v>465</v>
      </c>
      <c r="G195" s="21" t="s">
        <v>466</v>
      </c>
      <c r="I195" s="21" t="s">
        <v>62</v>
      </c>
      <c r="J195" s="21" t="s">
        <v>1156</v>
      </c>
      <c r="L195" s="21" t="s">
        <v>1131</v>
      </c>
      <c r="M195" s="21" t="s">
        <v>1157</v>
      </c>
      <c r="P195" s="21" t="s">
        <v>448</v>
      </c>
    </row>
    <row r="196" spans="1:16" ht="130.5">
      <c r="A196" s="21">
        <v>200</v>
      </c>
      <c r="B196" s="21" t="s">
        <v>1158</v>
      </c>
      <c r="C196" s="22" t="s">
        <v>1159</v>
      </c>
      <c r="D196" s="21" t="s">
        <v>58</v>
      </c>
      <c r="E196" s="21" t="s">
        <v>451</v>
      </c>
      <c r="F196" s="21" t="s">
        <v>1160</v>
      </c>
      <c r="G196" s="21" t="s">
        <v>1161</v>
      </c>
      <c r="I196" s="21" t="s">
        <v>476</v>
      </c>
      <c r="J196" s="21" t="s">
        <v>1162</v>
      </c>
      <c r="L196" s="21" t="s">
        <v>469</v>
      </c>
      <c r="M196" s="21" t="s">
        <v>1163</v>
      </c>
      <c r="P196" s="21" t="s">
        <v>155</v>
      </c>
    </row>
    <row r="197" spans="1:16" ht="48">
      <c r="A197" s="21">
        <v>201</v>
      </c>
      <c r="B197" s="21" t="s">
        <v>1164</v>
      </c>
      <c r="C197" s="22" t="s">
        <v>1165</v>
      </c>
      <c r="D197" s="21" t="s">
        <v>58</v>
      </c>
      <c r="E197" s="21" t="s">
        <v>1006</v>
      </c>
      <c r="F197" s="21" t="s">
        <v>1166</v>
      </c>
      <c r="G197" s="21">
        <v>11</v>
      </c>
      <c r="I197" s="21" t="s">
        <v>194</v>
      </c>
      <c r="J197" s="21" t="s">
        <v>1167</v>
      </c>
      <c r="L197" s="21" t="s">
        <v>469</v>
      </c>
      <c r="O197" s="21" t="s">
        <v>1168</v>
      </c>
      <c r="P197" s="21" t="s">
        <v>448</v>
      </c>
    </row>
    <row r="198" spans="1:16">
      <c r="A198" s="21">
        <v>202</v>
      </c>
      <c r="B198" s="21" t="s">
        <v>436</v>
      </c>
      <c r="C198" s="22" t="s">
        <v>1169</v>
      </c>
      <c r="D198" s="21" t="s">
        <v>58</v>
      </c>
      <c r="E198" s="21" t="s">
        <v>567</v>
      </c>
      <c r="F198" s="21" t="s">
        <v>1170</v>
      </c>
      <c r="G198" s="21" t="s">
        <v>1171</v>
      </c>
      <c r="I198" s="21" t="s">
        <v>194</v>
      </c>
      <c r="J198" s="21" t="s">
        <v>1172</v>
      </c>
      <c r="L198" s="21" t="s">
        <v>1173</v>
      </c>
      <c r="N198" s="21" t="s">
        <v>1174</v>
      </c>
      <c r="O198" s="21" t="s">
        <v>1175</v>
      </c>
      <c r="P198" s="21" t="s">
        <v>155</v>
      </c>
    </row>
    <row r="199" spans="1:16" ht="36">
      <c r="A199" s="21">
        <v>203</v>
      </c>
      <c r="B199" s="21" t="s">
        <v>364</v>
      </c>
      <c r="C199" s="22" t="s">
        <v>365</v>
      </c>
      <c r="D199" s="21" t="s">
        <v>58</v>
      </c>
      <c r="E199" s="21" t="s">
        <v>1006</v>
      </c>
      <c r="F199" s="21" t="s">
        <v>1176</v>
      </c>
      <c r="G199" s="21" t="s">
        <v>1177</v>
      </c>
      <c r="I199" s="21" t="s">
        <v>194</v>
      </c>
      <c r="J199" s="21" t="s">
        <v>368</v>
      </c>
      <c r="L199" s="21" t="s">
        <v>1008</v>
      </c>
      <c r="O199" s="21" t="s">
        <v>1178</v>
      </c>
      <c r="P199" s="21" t="s">
        <v>155</v>
      </c>
    </row>
    <row r="200" spans="1:16" ht="36">
      <c r="A200" s="21">
        <v>204</v>
      </c>
      <c r="B200" s="21" t="s">
        <v>196</v>
      </c>
      <c r="C200" s="22" t="s">
        <v>197</v>
      </c>
      <c r="D200" s="21" t="s">
        <v>58</v>
      </c>
      <c r="E200" s="21" t="s">
        <v>381</v>
      </c>
      <c r="F200" s="21" t="s">
        <v>1179</v>
      </c>
      <c r="G200" s="21" t="s">
        <v>491</v>
      </c>
      <c r="I200" s="21" t="s">
        <v>194</v>
      </c>
      <c r="J200" s="21" t="s">
        <v>199</v>
      </c>
      <c r="L200" s="21" t="s">
        <v>383</v>
      </c>
      <c r="N200" s="21" t="s">
        <v>1180</v>
      </c>
      <c r="O200" s="21" t="s">
        <v>1181</v>
      </c>
      <c r="P200" s="21" t="s">
        <v>67</v>
      </c>
    </row>
    <row r="201" spans="1:16" ht="154.5">
      <c r="A201" s="21">
        <v>205</v>
      </c>
      <c r="B201" s="21" t="s">
        <v>1182</v>
      </c>
      <c r="C201" s="22" t="s">
        <v>1183</v>
      </c>
      <c r="D201" s="21" t="s">
        <v>58</v>
      </c>
      <c r="E201" s="21" t="s">
        <v>567</v>
      </c>
      <c r="F201" s="21" t="s">
        <v>1184</v>
      </c>
      <c r="G201" s="21">
        <v>11111.1</v>
      </c>
      <c r="I201" s="21" t="s">
        <v>194</v>
      </c>
      <c r="J201" s="21" t="s">
        <v>1185</v>
      </c>
      <c r="L201" s="21" t="s">
        <v>571</v>
      </c>
      <c r="O201" s="21" t="s">
        <v>1186</v>
      </c>
      <c r="P201" s="21" t="s">
        <v>163</v>
      </c>
    </row>
    <row r="202" spans="1:16" ht="84">
      <c r="A202" s="21">
        <v>206</v>
      </c>
      <c r="B202" s="21" t="s">
        <v>1187</v>
      </c>
      <c r="C202" s="22" t="s">
        <v>1188</v>
      </c>
      <c r="D202" s="21" t="s">
        <v>58</v>
      </c>
      <c r="E202" s="21" t="s">
        <v>567</v>
      </c>
      <c r="F202" s="21" t="s">
        <v>1189</v>
      </c>
      <c r="G202" s="21">
        <v>2</v>
      </c>
      <c r="H202" s="21" t="s">
        <v>1190</v>
      </c>
      <c r="I202" s="21" t="s">
        <v>194</v>
      </c>
      <c r="J202" s="21" t="s">
        <v>1191</v>
      </c>
      <c r="L202" s="21" t="s">
        <v>571</v>
      </c>
      <c r="N202" s="21" t="s">
        <v>1192</v>
      </c>
      <c r="O202" s="21" t="s">
        <v>1193</v>
      </c>
      <c r="P202" s="21" t="s">
        <v>67</v>
      </c>
    </row>
    <row r="203" spans="1:16" ht="24">
      <c r="A203" s="21">
        <v>207</v>
      </c>
      <c r="B203" s="21" t="s">
        <v>1194</v>
      </c>
      <c r="C203" s="22" t="s">
        <v>1195</v>
      </c>
      <c r="D203" s="21" t="s">
        <v>58</v>
      </c>
      <c r="E203" s="21" t="s">
        <v>381</v>
      </c>
      <c r="F203" s="21" t="s">
        <v>1196</v>
      </c>
      <c r="G203" s="21" t="s">
        <v>849</v>
      </c>
      <c r="I203" s="21" t="s">
        <v>194</v>
      </c>
      <c r="J203" s="21" t="s">
        <v>1197</v>
      </c>
      <c r="L203" s="21" t="s">
        <v>383</v>
      </c>
      <c r="N203" s="21" t="s">
        <v>1198</v>
      </c>
      <c r="O203" s="21" t="s">
        <v>1199</v>
      </c>
      <c r="P203" s="21" t="s">
        <v>67</v>
      </c>
    </row>
    <row r="204" spans="1:16" ht="24">
      <c r="A204" s="21">
        <v>208</v>
      </c>
      <c r="B204" s="21" t="s">
        <v>1200</v>
      </c>
      <c r="C204" s="22" t="s">
        <v>1201</v>
      </c>
      <c r="D204" s="21" t="s">
        <v>58</v>
      </c>
      <c r="E204" s="21" t="s">
        <v>567</v>
      </c>
      <c r="F204" s="21" t="s">
        <v>1202</v>
      </c>
      <c r="G204" s="21" t="s">
        <v>1203</v>
      </c>
      <c r="I204" s="21" t="s">
        <v>194</v>
      </c>
      <c r="J204" s="21" t="s">
        <v>1204</v>
      </c>
      <c r="L204" s="21" t="s">
        <v>571</v>
      </c>
      <c r="M204" s="21" t="s">
        <v>1205</v>
      </c>
      <c r="N204" s="21" t="s">
        <v>1206</v>
      </c>
      <c r="O204" s="21" t="s">
        <v>1207</v>
      </c>
      <c r="P204" s="21" t="s">
        <v>155</v>
      </c>
    </row>
    <row r="205" spans="1:16" ht="118.5">
      <c r="A205" s="21">
        <v>209</v>
      </c>
      <c r="B205" s="21" t="s">
        <v>1208</v>
      </c>
      <c r="C205" s="22" t="s">
        <v>1209</v>
      </c>
      <c r="D205" s="21" t="s">
        <v>58</v>
      </c>
      <c r="E205" s="21" t="s">
        <v>567</v>
      </c>
      <c r="F205" s="21" t="s">
        <v>1210</v>
      </c>
      <c r="G205" s="21" t="s">
        <v>76</v>
      </c>
      <c r="I205" s="21" t="s">
        <v>194</v>
      </c>
      <c r="J205" s="21" t="s">
        <v>1211</v>
      </c>
      <c r="L205" s="21" t="s">
        <v>1173</v>
      </c>
      <c r="M205" s="21" t="s">
        <v>1212</v>
      </c>
      <c r="O205" s="21" t="s">
        <v>1213</v>
      </c>
      <c r="P205" s="21" t="s">
        <v>448</v>
      </c>
    </row>
    <row r="206" spans="1:16" ht="48">
      <c r="A206" s="21">
        <v>210</v>
      </c>
      <c r="B206" s="21" t="s">
        <v>1214</v>
      </c>
      <c r="C206" s="22" t="s">
        <v>1215</v>
      </c>
      <c r="D206" s="21" t="s">
        <v>58</v>
      </c>
      <c r="E206" s="21" t="s">
        <v>1006</v>
      </c>
      <c r="F206" s="21" t="s">
        <v>1216</v>
      </c>
      <c r="G206" s="21" t="s">
        <v>1217</v>
      </c>
      <c r="H206" s="21" t="s">
        <v>1218</v>
      </c>
      <c r="I206" s="21" t="s">
        <v>194</v>
      </c>
      <c r="J206" s="21" t="s">
        <v>1219</v>
      </c>
      <c r="L206" s="21" t="s">
        <v>1008</v>
      </c>
      <c r="M206" s="21" t="s">
        <v>1220</v>
      </c>
      <c r="O206" s="21" t="s">
        <v>1221</v>
      </c>
      <c r="P206" s="21" t="s">
        <v>448</v>
      </c>
    </row>
    <row r="207" spans="1:16" ht="24">
      <c r="A207" s="21">
        <v>211</v>
      </c>
      <c r="B207" s="21" t="s">
        <v>1222</v>
      </c>
      <c r="C207" s="22" t="s">
        <v>1223</v>
      </c>
      <c r="D207" s="21" t="s">
        <v>58</v>
      </c>
      <c r="E207" s="21" t="s">
        <v>567</v>
      </c>
      <c r="F207" s="21" t="s">
        <v>1224</v>
      </c>
      <c r="G207" s="21" t="s">
        <v>1225</v>
      </c>
      <c r="I207" s="21" t="s">
        <v>1226</v>
      </c>
      <c r="J207" s="21" t="s">
        <v>1227</v>
      </c>
      <c r="L207" s="21" t="s">
        <v>469</v>
      </c>
      <c r="M207" s="21" t="s">
        <v>1228</v>
      </c>
      <c r="N207" s="21" t="s">
        <v>1229</v>
      </c>
      <c r="O207" s="21" t="s">
        <v>1230</v>
      </c>
      <c r="P207" s="21" t="s">
        <v>155</v>
      </c>
    </row>
    <row r="208" spans="1:16" ht="24">
      <c r="A208" s="21">
        <v>212</v>
      </c>
      <c r="B208" s="21" t="s">
        <v>1231</v>
      </c>
      <c r="C208" s="22" t="s">
        <v>1231</v>
      </c>
      <c r="D208" s="21" t="s">
        <v>58</v>
      </c>
      <c r="E208" s="21" t="s">
        <v>567</v>
      </c>
      <c r="F208" s="21" t="s">
        <v>1232</v>
      </c>
      <c r="G208" s="21">
        <v>8201.1</v>
      </c>
      <c r="I208" s="21" t="s">
        <v>1226</v>
      </c>
      <c r="J208" s="21" t="s">
        <v>1233</v>
      </c>
      <c r="L208" s="21" t="s">
        <v>571</v>
      </c>
      <c r="O208" s="21" t="s">
        <v>1234</v>
      </c>
      <c r="P208" s="21" t="s">
        <v>155</v>
      </c>
    </row>
    <row r="209" spans="1:16" ht="72">
      <c r="A209" s="21">
        <v>213</v>
      </c>
      <c r="B209" s="21" t="s">
        <v>1235</v>
      </c>
      <c r="C209" s="22" t="s">
        <v>1236</v>
      </c>
      <c r="D209" s="21" t="s">
        <v>58</v>
      </c>
      <c r="E209" s="21" t="s">
        <v>567</v>
      </c>
      <c r="F209" s="21" t="s">
        <v>1237</v>
      </c>
      <c r="G209" s="21" t="s">
        <v>1111</v>
      </c>
      <c r="I209" s="21" t="s">
        <v>1226</v>
      </c>
      <c r="J209" s="21" t="s">
        <v>1238</v>
      </c>
      <c r="L209" s="21" t="s">
        <v>571</v>
      </c>
      <c r="O209" s="21" t="s">
        <v>1239</v>
      </c>
      <c r="P209" s="21" t="s">
        <v>155</v>
      </c>
    </row>
    <row r="210" spans="1:16" ht="107.25">
      <c r="A210" s="21">
        <v>214</v>
      </c>
      <c r="B210" s="21" t="s">
        <v>1240</v>
      </c>
      <c r="C210" s="22" t="s">
        <v>1241</v>
      </c>
      <c r="D210" s="21" t="s">
        <v>58</v>
      </c>
      <c r="E210" s="21" t="s">
        <v>567</v>
      </c>
      <c r="F210" s="21" t="s">
        <v>1242</v>
      </c>
      <c r="I210" s="21" t="s">
        <v>1226</v>
      </c>
      <c r="J210" s="21" t="s">
        <v>1243</v>
      </c>
      <c r="L210" s="21" t="s">
        <v>571</v>
      </c>
      <c r="O210" s="21" t="s">
        <v>1244</v>
      </c>
      <c r="P210" s="21" t="s">
        <v>155</v>
      </c>
    </row>
    <row r="211" spans="1:16" ht="24">
      <c r="A211" s="21">
        <v>215</v>
      </c>
      <c r="B211" s="21" t="s">
        <v>1245</v>
      </c>
      <c r="C211" s="22" t="s">
        <v>1246</v>
      </c>
      <c r="D211" s="21" t="s">
        <v>58</v>
      </c>
      <c r="E211" s="21" t="s">
        <v>567</v>
      </c>
      <c r="F211" s="21" t="s">
        <v>1247</v>
      </c>
      <c r="G211" s="21" t="s">
        <v>1248</v>
      </c>
      <c r="I211" s="21" t="s">
        <v>1249</v>
      </c>
      <c r="J211" s="21" t="s">
        <v>1250</v>
      </c>
      <c r="L211" s="21" t="s">
        <v>1173</v>
      </c>
      <c r="O211" s="21" t="s">
        <v>1251</v>
      </c>
      <c r="P211" s="21" t="s">
        <v>155</v>
      </c>
    </row>
    <row r="212" spans="1:16" ht="24">
      <c r="A212" s="21">
        <v>216</v>
      </c>
      <c r="B212" s="21" t="s">
        <v>1252</v>
      </c>
      <c r="C212" s="22" t="s">
        <v>1253</v>
      </c>
      <c r="D212" s="21" t="s">
        <v>58</v>
      </c>
      <c r="E212" s="21" t="s">
        <v>567</v>
      </c>
      <c r="F212" s="21" t="s">
        <v>1254</v>
      </c>
      <c r="G212" s="21" t="s">
        <v>1255</v>
      </c>
      <c r="I212" s="21" t="s">
        <v>1249</v>
      </c>
      <c r="J212" s="21" t="s">
        <v>1256</v>
      </c>
      <c r="L212" s="21" t="s">
        <v>469</v>
      </c>
      <c r="M212" s="21" t="s">
        <v>1257</v>
      </c>
      <c r="O212" s="21" t="s">
        <v>1258</v>
      </c>
      <c r="P212" s="21" t="s">
        <v>155</v>
      </c>
    </row>
    <row r="213" spans="1:16" ht="24">
      <c r="A213" s="21">
        <v>217</v>
      </c>
      <c r="B213" s="21" t="s">
        <v>1259</v>
      </c>
      <c r="C213" s="22" t="s">
        <v>1260</v>
      </c>
      <c r="D213" s="21" t="s">
        <v>58</v>
      </c>
      <c r="E213" s="21" t="s">
        <v>1006</v>
      </c>
      <c r="F213" s="21" t="s">
        <v>1261</v>
      </c>
      <c r="G213" s="21" t="s">
        <v>1262</v>
      </c>
      <c r="I213" s="21" t="s">
        <v>1249</v>
      </c>
      <c r="J213" s="21" t="s">
        <v>1263</v>
      </c>
      <c r="L213" s="21" t="s">
        <v>469</v>
      </c>
      <c r="O213" s="21" t="s">
        <v>1264</v>
      </c>
      <c r="P213" s="21" t="s">
        <v>448</v>
      </c>
    </row>
    <row r="214" spans="1:16" ht="24">
      <c r="A214" s="21">
        <v>218</v>
      </c>
      <c r="B214" s="21" t="s">
        <v>1265</v>
      </c>
      <c r="C214" s="22" t="s">
        <v>1266</v>
      </c>
      <c r="D214" s="21" t="s">
        <v>58</v>
      </c>
      <c r="E214" s="21" t="s">
        <v>567</v>
      </c>
      <c r="F214" s="21" t="s">
        <v>1267</v>
      </c>
      <c r="G214" s="21">
        <v>123479.22</v>
      </c>
      <c r="I214" s="21" t="s">
        <v>1249</v>
      </c>
      <c r="J214" s="21" t="s">
        <v>1268</v>
      </c>
      <c r="L214" s="21" t="s">
        <v>469</v>
      </c>
      <c r="O214" s="21" t="s">
        <v>1269</v>
      </c>
      <c r="P214" s="21" t="s">
        <v>163</v>
      </c>
    </row>
    <row r="215" spans="1:16" ht="107.25">
      <c r="A215" s="21">
        <v>219</v>
      </c>
      <c r="B215" s="21" t="s">
        <v>1270</v>
      </c>
      <c r="C215" s="22" t="s">
        <v>1271</v>
      </c>
      <c r="D215" s="21" t="s">
        <v>58</v>
      </c>
      <c r="E215" s="21" t="s">
        <v>567</v>
      </c>
      <c r="F215" s="21" t="s">
        <v>1272</v>
      </c>
      <c r="G215" s="21" t="s">
        <v>283</v>
      </c>
      <c r="I215" s="21" t="s">
        <v>1249</v>
      </c>
      <c r="J215" s="21" t="s">
        <v>1273</v>
      </c>
      <c r="L215" s="21" t="s">
        <v>469</v>
      </c>
      <c r="M215" s="21" t="s">
        <v>1274</v>
      </c>
      <c r="O215" s="21" t="s">
        <v>1275</v>
      </c>
      <c r="P215" s="21" t="s">
        <v>155</v>
      </c>
    </row>
    <row r="216" spans="1:16" ht="369">
      <c r="A216" s="21">
        <v>220</v>
      </c>
      <c r="B216" s="21" t="s">
        <v>1276</v>
      </c>
      <c r="C216" s="22" t="s">
        <v>1277</v>
      </c>
      <c r="D216" s="21" t="s">
        <v>58</v>
      </c>
      <c r="E216" s="21" t="s">
        <v>567</v>
      </c>
      <c r="F216" s="21" t="s">
        <v>1278</v>
      </c>
      <c r="G216" s="21">
        <v>3.1</v>
      </c>
      <c r="H216" s="21" t="s">
        <v>1279</v>
      </c>
      <c r="I216" s="21" t="s">
        <v>1249</v>
      </c>
      <c r="J216" s="21" t="s">
        <v>1280</v>
      </c>
      <c r="L216" s="21" t="s">
        <v>469</v>
      </c>
      <c r="O216" s="21" t="s">
        <v>1281</v>
      </c>
      <c r="P216" s="21" t="s">
        <v>155</v>
      </c>
    </row>
    <row r="217" spans="1:16" ht="72">
      <c r="A217" s="21">
        <v>221</v>
      </c>
      <c r="B217" s="21" t="s">
        <v>1282</v>
      </c>
      <c r="C217" s="22" t="s">
        <v>1283</v>
      </c>
      <c r="D217" s="21" t="s">
        <v>58</v>
      </c>
      <c r="E217" s="21" t="s">
        <v>567</v>
      </c>
      <c r="F217" s="21" t="s">
        <v>1284</v>
      </c>
      <c r="G217" s="21" t="s">
        <v>1285</v>
      </c>
      <c r="I217" s="21" t="s">
        <v>1249</v>
      </c>
      <c r="J217" s="21" t="s">
        <v>1286</v>
      </c>
      <c r="L217" s="21" t="s">
        <v>469</v>
      </c>
      <c r="M217" s="21" t="s">
        <v>1287</v>
      </c>
      <c r="O217" s="21" t="s">
        <v>1288</v>
      </c>
      <c r="P217" s="21" t="s">
        <v>448</v>
      </c>
    </row>
    <row r="218" spans="1:16" ht="96">
      <c r="A218" s="21">
        <v>222</v>
      </c>
      <c r="B218" s="21" t="s">
        <v>1289</v>
      </c>
      <c r="C218" s="22" t="s">
        <v>1290</v>
      </c>
      <c r="D218" s="21" t="s">
        <v>58</v>
      </c>
      <c r="E218" s="21" t="s">
        <v>1006</v>
      </c>
      <c r="F218" s="21" t="s">
        <v>1291</v>
      </c>
      <c r="G218" s="21" t="s">
        <v>76</v>
      </c>
      <c r="I218" s="21" t="s">
        <v>1249</v>
      </c>
      <c r="J218" s="21" t="s">
        <v>1292</v>
      </c>
      <c r="L218" s="21" t="s">
        <v>469</v>
      </c>
      <c r="M218" s="21" t="s">
        <v>1293</v>
      </c>
      <c r="O218" s="21" t="s">
        <v>1294</v>
      </c>
      <c r="P218" s="21" t="s">
        <v>155</v>
      </c>
    </row>
    <row r="219" spans="1:16" ht="96">
      <c r="A219" s="21">
        <v>223</v>
      </c>
      <c r="B219" s="21" t="s">
        <v>1295</v>
      </c>
      <c r="C219" s="22" t="s">
        <v>1296</v>
      </c>
      <c r="D219" s="21" t="s">
        <v>58</v>
      </c>
      <c r="E219" s="21" t="s">
        <v>1006</v>
      </c>
      <c r="F219" s="21" t="s">
        <v>1297</v>
      </c>
      <c r="G219" s="21" t="s">
        <v>76</v>
      </c>
      <c r="I219" s="21" t="s">
        <v>1249</v>
      </c>
      <c r="J219" s="21" t="s">
        <v>1298</v>
      </c>
      <c r="L219" s="21" t="s">
        <v>1008</v>
      </c>
      <c r="M219" s="21" t="s">
        <v>1299</v>
      </c>
      <c r="N219" s="21" t="s">
        <v>1300</v>
      </c>
      <c r="O219" s="21" t="s">
        <v>1301</v>
      </c>
      <c r="P219" s="21" t="s">
        <v>155</v>
      </c>
    </row>
    <row r="220" spans="1:16" ht="107.25">
      <c r="A220" s="21">
        <v>224</v>
      </c>
      <c r="B220" s="21" t="s">
        <v>1302</v>
      </c>
      <c r="C220" s="22" t="s">
        <v>1303</v>
      </c>
      <c r="D220" s="21" t="s">
        <v>58</v>
      </c>
      <c r="E220" s="21" t="s">
        <v>567</v>
      </c>
      <c r="F220" s="21" t="s">
        <v>1304</v>
      </c>
      <c r="G220" s="21" t="s">
        <v>1305</v>
      </c>
      <c r="I220" s="21" t="s">
        <v>1249</v>
      </c>
      <c r="J220" s="21" t="s">
        <v>1306</v>
      </c>
      <c r="L220" s="21" t="s">
        <v>469</v>
      </c>
      <c r="M220" s="21" t="s">
        <v>1307</v>
      </c>
      <c r="N220" s="21" t="s">
        <v>1308</v>
      </c>
      <c r="O220" s="21" t="s">
        <v>1309</v>
      </c>
      <c r="P220" s="21" t="s">
        <v>155</v>
      </c>
    </row>
    <row r="221" spans="1:16" ht="60">
      <c r="A221" s="21">
        <v>225</v>
      </c>
      <c r="B221" s="21" t="s">
        <v>1310</v>
      </c>
      <c r="C221" s="22" t="s">
        <v>1311</v>
      </c>
      <c r="D221" s="21" t="s">
        <v>58</v>
      </c>
      <c r="E221" s="21" t="s">
        <v>567</v>
      </c>
      <c r="F221" s="21" t="s">
        <v>1312</v>
      </c>
      <c r="G221" s="21" t="s">
        <v>1313</v>
      </c>
      <c r="I221" s="21" t="s">
        <v>1249</v>
      </c>
      <c r="J221" s="21" t="s">
        <v>1314</v>
      </c>
      <c r="L221" s="21" t="s">
        <v>1173</v>
      </c>
      <c r="M221" s="21" t="s">
        <v>1315</v>
      </c>
      <c r="N221" s="21" t="s">
        <v>1316</v>
      </c>
      <c r="O221" s="21" t="s">
        <v>1317</v>
      </c>
      <c r="P221" s="21" t="s">
        <v>155</v>
      </c>
    </row>
    <row r="222" spans="1:16" ht="107.25">
      <c r="A222" s="21">
        <v>226</v>
      </c>
      <c r="B222" s="21" t="s">
        <v>1318</v>
      </c>
      <c r="C222" s="22" t="s">
        <v>1319</v>
      </c>
      <c r="D222" s="21" t="s">
        <v>58</v>
      </c>
      <c r="E222" s="21" t="s">
        <v>567</v>
      </c>
      <c r="F222" s="21" t="s">
        <v>1320</v>
      </c>
      <c r="G222" s="21" t="s">
        <v>283</v>
      </c>
      <c r="I222" s="21" t="s">
        <v>1249</v>
      </c>
      <c r="J222" s="21" t="s">
        <v>1321</v>
      </c>
      <c r="L222" s="21" t="s">
        <v>1008</v>
      </c>
      <c r="M222" s="21" t="s">
        <v>1322</v>
      </c>
      <c r="O222" s="21" t="s">
        <v>1323</v>
      </c>
      <c r="P222" s="21" t="s">
        <v>155</v>
      </c>
    </row>
    <row r="223" spans="1:16" ht="190.5">
      <c r="A223" s="21">
        <v>227</v>
      </c>
      <c r="B223" s="21" t="s">
        <v>1324</v>
      </c>
      <c r="C223" s="22" t="s">
        <v>1325</v>
      </c>
      <c r="D223" s="21" t="s">
        <v>58</v>
      </c>
      <c r="E223" s="21" t="s">
        <v>567</v>
      </c>
      <c r="F223" s="21" t="s">
        <v>1326</v>
      </c>
      <c r="G223" s="21" t="s">
        <v>1096</v>
      </c>
      <c r="I223" s="21" t="s">
        <v>1249</v>
      </c>
      <c r="J223" s="21" t="s">
        <v>1327</v>
      </c>
      <c r="L223" s="21" t="s">
        <v>469</v>
      </c>
      <c r="M223" s="21" t="s">
        <v>1328</v>
      </c>
      <c r="N223" s="21" t="s">
        <v>1329</v>
      </c>
      <c r="O223" s="21" t="s">
        <v>1330</v>
      </c>
      <c r="P223" s="21" t="s">
        <v>155</v>
      </c>
    </row>
    <row r="224" spans="1:16" ht="60">
      <c r="A224" s="21">
        <v>228</v>
      </c>
      <c r="B224" s="21" t="s">
        <v>1331</v>
      </c>
      <c r="C224" s="22" t="s">
        <v>1332</v>
      </c>
      <c r="D224" s="21" t="s">
        <v>58</v>
      </c>
      <c r="E224" s="21" t="s">
        <v>567</v>
      </c>
      <c r="F224" s="21" t="s">
        <v>1333</v>
      </c>
      <c r="G224" s="21" t="s">
        <v>310</v>
      </c>
      <c r="I224" s="21" t="s">
        <v>1249</v>
      </c>
      <c r="J224" s="21" t="s">
        <v>1334</v>
      </c>
      <c r="L224" s="21" t="s">
        <v>571</v>
      </c>
      <c r="M224" s="21" t="s">
        <v>1335</v>
      </c>
      <c r="O224" s="21" t="s">
        <v>1336</v>
      </c>
      <c r="P224" s="21" t="s">
        <v>67</v>
      </c>
    </row>
    <row r="225" spans="1:16" ht="107.25">
      <c r="A225" s="21">
        <v>229</v>
      </c>
      <c r="B225" s="21" t="s">
        <v>1337</v>
      </c>
      <c r="C225" s="22" t="s">
        <v>1338</v>
      </c>
      <c r="D225" s="21" t="s">
        <v>58</v>
      </c>
      <c r="E225" s="21" t="s">
        <v>1006</v>
      </c>
      <c r="F225" s="21" t="s">
        <v>1339</v>
      </c>
      <c r="G225" s="21" t="s">
        <v>1340</v>
      </c>
      <c r="I225" s="21" t="s">
        <v>1249</v>
      </c>
      <c r="J225" s="21" t="s">
        <v>1341</v>
      </c>
      <c r="L225" s="21" t="s">
        <v>1008</v>
      </c>
      <c r="M225" s="21" t="s">
        <v>1342</v>
      </c>
      <c r="N225" s="21" t="s">
        <v>1343</v>
      </c>
      <c r="O225" s="21" t="s">
        <v>1344</v>
      </c>
      <c r="P225" s="21" t="s">
        <v>155</v>
      </c>
    </row>
    <row r="226" spans="1:16" ht="60">
      <c r="A226" s="21">
        <v>230</v>
      </c>
      <c r="B226" s="21" t="s">
        <v>1345</v>
      </c>
      <c r="C226" s="22" t="s">
        <v>1346</v>
      </c>
      <c r="D226" s="21" t="s">
        <v>58</v>
      </c>
      <c r="E226" s="21" t="s">
        <v>1347</v>
      </c>
      <c r="F226" s="21" t="s">
        <v>1348</v>
      </c>
      <c r="G226" s="21">
        <v>15.11</v>
      </c>
      <c r="I226" s="21" t="s">
        <v>1249</v>
      </c>
      <c r="J226" s="21" t="s">
        <v>1349</v>
      </c>
      <c r="L226" s="21" t="s">
        <v>1173</v>
      </c>
      <c r="O226" s="21" t="s">
        <v>1350</v>
      </c>
      <c r="P226" s="21" t="s">
        <v>155</v>
      </c>
    </row>
    <row r="227" spans="1:16">
      <c r="A227" s="21">
        <v>231</v>
      </c>
      <c r="B227" s="21" t="s">
        <v>1351</v>
      </c>
      <c r="C227" s="22" t="s">
        <v>1352</v>
      </c>
      <c r="D227" s="21" t="s">
        <v>58</v>
      </c>
      <c r="E227" s="21" t="s">
        <v>1347</v>
      </c>
      <c r="F227" s="21" t="s">
        <v>1216</v>
      </c>
      <c r="G227" s="21" t="s">
        <v>310</v>
      </c>
      <c r="I227" s="21" t="s">
        <v>1249</v>
      </c>
      <c r="J227" s="21" t="s">
        <v>1353</v>
      </c>
      <c r="L227" s="21" t="s">
        <v>1173</v>
      </c>
      <c r="M227" s="21" t="s">
        <v>1220</v>
      </c>
      <c r="O227" s="21" t="s">
        <v>1354</v>
      </c>
      <c r="P227" s="21" t="s">
        <v>67</v>
      </c>
    </row>
    <row r="228" spans="1:16" ht="226.5">
      <c r="A228" s="21">
        <v>232</v>
      </c>
      <c r="B228" s="21" t="s">
        <v>1355</v>
      </c>
      <c r="C228" s="22" t="s">
        <v>1356</v>
      </c>
      <c r="D228" s="21" t="s">
        <v>58</v>
      </c>
      <c r="E228" s="21" t="s">
        <v>567</v>
      </c>
      <c r="F228" s="21" t="s">
        <v>1357</v>
      </c>
      <c r="G228" s="21">
        <v>11.5</v>
      </c>
      <c r="I228" s="21" t="s">
        <v>1249</v>
      </c>
      <c r="J228" s="21" t="s">
        <v>1358</v>
      </c>
      <c r="L228" s="21" t="s">
        <v>1173</v>
      </c>
      <c r="O228" s="21" t="s">
        <v>1359</v>
      </c>
    </row>
    <row r="229" spans="1:16" ht="72">
      <c r="A229" s="21">
        <v>233</v>
      </c>
      <c r="B229" s="21" t="s">
        <v>343</v>
      </c>
      <c r="C229" s="22" t="s">
        <v>344</v>
      </c>
      <c r="D229" s="21" t="s">
        <v>58</v>
      </c>
      <c r="E229" s="21" t="s">
        <v>381</v>
      </c>
      <c r="F229" s="21" t="s">
        <v>345</v>
      </c>
      <c r="G229" s="21" t="s">
        <v>310</v>
      </c>
      <c r="I229" s="21" t="s">
        <v>62</v>
      </c>
      <c r="J229" s="21" t="s">
        <v>346</v>
      </c>
      <c r="L229" s="21" t="s">
        <v>383</v>
      </c>
      <c r="M229" s="21" t="s">
        <v>347</v>
      </c>
      <c r="N229" s="21" t="s">
        <v>1360</v>
      </c>
      <c r="P229" s="21" t="s">
        <v>67</v>
      </c>
    </row>
    <row r="230" spans="1:16" ht="48">
      <c r="A230" s="21">
        <v>234</v>
      </c>
      <c r="B230" s="21" t="s">
        <v>1361</v>
      </c>
      <c r="C230" s="22" t="s">
        <v>1362</v>
      </c>
      <c r="D230" s="21" t="s">
        <v>58</v>
      </c>
      <c r="E230" s="21" t="s">
        <v>567</v>
      </c>
      <c r="F230" s="21" t="s">
        <v>1363</v>
      </c>
      <c r="I230" s="21" t="s">
        <v>62</v>
      </c>
      <c r="J230" s="21" t="s">
        <v>1364</v>
      </c>
      <c r="L230" s="21" t="s">
        <v>1365</v>
      </c>
      <c r="P230" s="21" t="s">
        <v>155</v>
      </c>
    </row>
    <row r="231" spans="1:16" ht="48">
      <c r="A231" s="21">
        <v>235</v>
      </c>
      <c r="B231" s="21" t="s">
        <v>1366</v>
      </c>
      <c r="C231" s="22" t="s">
        <v>1367</v>
      </c>
      <c r="D231" s="21" t="s">
        <v>58</v>
      </c>
      <c r="E231" s="21" t="s">
        <v>1039</v>
      </c>
      <c r="F231" s="21" t="s">
        <v>1368</v>
      </c>
      <c r="I231" s="21" t="s">
        <v>62</v>
      </c>
      <c r="J231" s="21" t="s">
        <v>1369</v>
      </c>
      <c r="L231" s="21" t="s">
        <v>1370</v>
      </c>
      <c r="P231" s="21" t="s">
        <v>163</v>
      </c>
    </row>
    <row r="232" spans="1:16" ht="36">
      <c r="A232" s="21">
        <v>236</v>
      </c>
      <c r="B232" s="21" t="s">
        <v>1371</v>
      </c>
      <c r="C232" s="22" t="s">
        <v>1372</v>
      </c>
      <c r="D232" s="21" t="s">
        <v>58</v>
      </c>
      <c r="E232" s="21" t="s">
        <v>451</v>
      </c>
      <c r="F232" s="21" t="s">
        <v>1373</v>
      </c>
      <c r="G232" s="21">
        <v>10.01</v>
      </c>
      <c r="H232" s="21" t="s">
        <v>1374</v>
      </c>
      <c r="I232" s="21" t="s">
        <v>62</v>
      </c>
      <c r="J232" s="21" t="s">
        <v>1375</v>
      </c>
      <c r="L232" s="21" t="s">
        <v>469</v>
      </c>
      <c r="P232" s="21" t="s">
        <v>155</v>
      </c>
    </row>
    <row r="233" spans="1:16" ht="36">
      <c r="A233" s="21">
        <v>237</v>
      </c>
      <c r="B233" s="21" t="s">
        <v>1376</v>
      </c>
      <c r="C233" s="22" t="s">
        <v>1377</v>
      </c>
      <c r="D233" s="21" t="s">
        <v>58</v>
      </c>
      <c r="E233" s="21" t="s">
        <v>451</v>
      </c>
      <c r="F233" s="21" t="s">
        <v>1378</v>
      </c>
      <c r="G233" s="21">
        <v>10.02</v>
      </c>
      <c r="H233" s="21" t="s">
        <v>1379</v>
      </c>
      <c r="I233" s="21" t="s">
        <v>62</v>
      </c>
      <c r="J233" s="21" t="s">
        <v>1380</v>
      </c>
      <c r="L233" s="21" t="s">
        <v>469</v>
      </c>
      <c r="P233" s="21" t="s">
        <v>155</v>
      </c>
    </row>
    <row r="234" spans="1:16" ht="60">
      <c r="A234" s="21">
        <v>238</v>
      </c>
      <c r="B234" s="21" t="s">
        <v>1381</v>
      </c>
      <c r="C234" s="22" t="s">
        <v>1382</v>
      </c>
      <c r="D234" s="21" t="s">
        <v>58</v>
      </c>
      <c r="E234" s="21" t="s">
        <v>431</v>
      </c>
      <c r="F234" s="21" t="s">
        <v>1383</v>
      </c>
      <c r="G234" s="21">
        <v>95.01</v>
      </c>
      <c r="I234" s="21" t="s">
        <v>62</v>
      </c>
      <c r="J234" s="21" t="s">
        <v>1384</v>
      </c>
      <c r="L234" s="21" t="s">
        <v>1385</v>
      </c>
      <c r="P234" s="21" t="s">
        <v>155</v>
      </c>
    </row>
    <row r="235" spans="1:16" ht="36">
      <c r="A235" s="21">
        <v>239</v>
      </c>
      <c r="B235" s="21" t="s">
        <v>1386</v>
      </c>
      <c r="C235" s="22" t="s">
        <v>170</v>
      </c>
      <c r="D235" s="21" t="s">
        <v>58</v>
      </c>
      <c r="E235" s="21" t="s">
        <v>1347</v>
      </c>
      <c r="F235" s="21" t="s">
        <v>1387</v>
      </c>
      <c r="I235" s="21" t="s">
        <v>62</v>
      </c>
      <c r="J235" s="21" t="s">
        <v>172</v>
      </c>
      <c r="L235" s="21" t="s">
        <v>1388</v>
      </c>
      <c r="P235" s="21" t="s">
        <v>163</v>
      </c>
    </row>
    <row r="236" spans="1:16" ht="48">
      <c r="A236" s="21">
        <v>240</v>
      </c>
      <c r="B236" s="21" t="s">
        <v>1389</v>
      </c>
      <c r="C236" s="22" t="s">
        <v>1390</v>
      </c>
      <c r="D236" s="21" t="s">
        <v>58</v>
      </c>
      <c r="E236" s="21" t="s">
        <v>381</v>
      </c>
      <c r="F236" s="21" t="s">
        <v>1391</v>
      </c>
      <c r="I236" s="21" t="s">
        <v>62</v>
      </c>
      <c r="J236" s="21" t="s">
        <v>1392</v>
      </c>
      <c r="L236" s="21" t="s">
        <v>1131</v>
      </c>
      <c r="P236" s="21" t="s">
        <v>155</v>
      </c>
    </row>
    <row r="237" spans="1:16" ht="84">
      <c r="A237" s="21">
        <v>241</v>
      </c>
      <c r="B237" s="21" t="s">
        <v>1393</v>
      </c>
      <c r="C237" s="22" t="s">
        <v>1394</v>
      </c>
      <c r="D237" s="21" t="s">
        <v>58</v>
      </c>
      <c r="E237" s="21" t="s">
        <v>431</v>
      </c>
      <c r="F237" s="21" t="s">
        <v>1395</v>
      </c>
      <c r="I237" s="21" t="s">
        <v>62</v>
      </c>
      <c r="J237" s="21" t="s">
        <v>1396</v>
      </c>
      <c r="L237" s="21" t="s">
        <v>1131</v>
      </c>
      <c r="P237" s="21" t="s">
        <v>155</v>
      </c>
    </row>
    <row r="238" spans="1:16" ht="60">
      <c r="A238" s="21">
        <v>242</v>
      </c>
      <c r="B238" s="21" t="s">
        <v>1397</v>
      </c>
      <c r="C238" s="22" t="s">
        <v>1398</v>
      </c>
      <c r="D238" s="21" t="s">
        <v>58</v>
      </c>
      <c r="E238" s="21" t="s">
        <v>1399</v>
      </c>
      <c r="F238" s="21" t="s">
        <v>1400</v>
      </c>
      <c r="G238" s="21">
        <v>11.18</v>
      </c>
      <c r="I238" s="21" t="s">
        <v>62</v>
      </c>
      <c r="J238" s="21" t="s">
        <v>1401</v>
      </c>
      <c r="L238" s="21" t="s">
        <v>1402</v>
      </c>
      <c r="P238" s="21" t="s">
        <v>155</v>
      </c>
    </row>
    <row r="239" spans="1:16" ht="84">
      <c r="A239" s="21">
        <v>243</v>
      </c>
      <c r="B239" s="21" t="s">
        <v>1403</v>
      </c>
      <c r="C239" s="22" t="s">
        <v>1404</v>
      </c>
      <c r="D239" s="21" t="s">
        <v>58</v>
      </c>
      <c r="E239" s="21" t="s">
        <v>1013</v>
      </c>
      <c r="F239" s="21" t="s">
        <v>1405</v>
      </c>
      <c r="G239" s="21">
        <v>10.08</v>
      </c>
      <c r="I239" s="21" t="s">
        <v>62</v>
      </c>
      <c r="J239" s="21" t="s">
        <v>1406</v>
      </c>
      <c r="L239" s="21" t="s">
        <v>1385</v>
      </c>
      <c r="P239" s="21" t="s">
        <v>155</v>
      </c>
    </row>
    <row r="240" spans="1:16" ht="96">
      <c r="A240" s="21">
        <v>244</v>
      </c>
      <c r="B240" s="21" t="s">
        <v>1407</v>
      </c>
      <c r="C240" s="22" t="s">
        <v>1408</v>
      </c>
      <c r="D240" s="21" t="s">
        <v>58</v>
      </c>
      <c r="E240" s="21" t="s">
        <v>1409</v>
      </c>
      <c r="F240" s="21" t="s">
        <v>1410</v>
      </c>
      <c r="G240" s="21">
        <v>98.44</v>
      </c>
      <c r="I240" s="21" t="s">
        <v>476</v>
      </c>
      <c r="J240" s="21" t="s">
        <v>1411</v>
      </c>
      <c r="L240" s="21" t="s">
        <v>444</v>
      </c>
      <c r="P240" s="21" t="s">
        <v>155</v>
      </c>
    </row>
    <row r="241" spans="1:16" ht="309.75">
      <c r="A241" s="21">
        <v>245</v>
      </c>
      <c r="B241" s="21" t="s">
        <v>1412</v>
      </c>
      <c r="C241" s="22" t="s">
        <v>1413</v>
      </c>
      <c r="D241" s="21" t="s">
        <v>58</v>
      </c>
      <c r="E241" s="21" t="s">
        <v>482</v>
      </c>
      <c r="F241" s="21" t="s">
        <v>1414</v>
      </c>
      <c r="G241" s="21">
        <v>10.01</v>
      </c>
      <c r="I241" s="21" t="s">
        <v>476</v>
      </c>
      <c r="J241" s="21" t="s">
        <v>1415</v>
      </c>
      <c r="L241" s="21" t="s">
        <v>444</v>
      </c>
      <c r="P241" s="21" t="s">
        <v>155</v>
      </c>
    </row>
    <row r="242" spans="1:16" ht="60">
      <c r="A242" s="21">
        <v>246</v>
      </c>
      <c r="B242" s="21" t="s">
        <v>1416</v>
      </c>
      <c r="C242" s="22" t="s">
        <v>1417</v>
      </c>
      <c r="D242" s="21" t="s">
        <v>58</v>
      </c>
      <c r="E242" s="21" t="s">
        <v>482</v>
      </c>
      <c r="F242" s="21" t="s">
        <v>1418</v>
      </c>
      <c r="I242" s="21" t="s">
        <v>476</v>
      </c>
      <c r="J242" s="21" t="s">
        <v>1419</v>
      </c>
      <c r="L242" s="21" t="s">
        <v>444</v>
      </c>
      <c r="P242" s="21" t="s">
        <v>155</v>
      </c>
    </row>
    <row r="243" spans="1:16" ht="72">
      <c r="A243" s="21">
        <v>247</v>
      </c>
      <c r="B243" s="21" t="s">
        <v>1420</v>
      </c>
      <c r="C243" s="22" t="s">
        <v>1421</v>
      </c>
      <c r="D243" s="21" t="s">
        <v>58</v>
      </c>
      <c r="E243" s="21" t="s">
        <v>451</v>
      </c>
      <c r="F243" s="21" t="s">
        <v>1422</v>
      </c>
      <c r="G243" s="21">
        <v>10.029999999999999</v>
      </c>
      <c r="I243" s="21" t="s">
        <v>476</v>
      </c>
      <c r="J243" s="21" t="s">
        <v>1423</v>
      </c>
      <c r="L243" s="21" t="s">
        <v>444</v>
      </c>
      <c r="P243" s="21" t="s">
        <v>155</v>
      </c>
    </row>
    <row r="244" spans="1:16" ht="84">
      <c r="A244" s="21">
        <v>248</v>
      </c>
      <c r="B244" s="21" t="s">
        <v>1424</v>
      </c>
      <c r="C244" s="22" t="s">
        <v>1425</v>
      </c>
      <c r="D244" s="21" t="s">
        <v>58</v>
      </c>
      <c r="E244" s="21" t="s">
        <v>451</v>
      </c>
      <c r="F244" s="21" t="s">
        <v>1426</v>
      </c>
      <c r="G244" s="21">
        <v>10.039999999999999</v>
      </c>
      <c r="I244" s="21" t="s">
        <v>476</v>
      </c>
      <c r="J244" s="21" t="s">
        <v>1427</v>
      </c>
      <c r="L244" s="21" t="s">
        <v>444</v>
      </c>
      <c r="P244" s="21" t="s">
        <v>155</v>
      </c>
    </row>
    <row r="245" spans="1:16" ht="96">
      <c r="A245" s="21">
        <v>249</v>
      </c>
      <c r="B245" s="21" t="s">
        <v>1428</v>
      </c>
      <c r="C245" s="22" t="s">
        <v>1429</v>
      </c>
      <c r="D245" s="21" t="s">
        <v>58</v>
      </c>
      <c r="E245" s="21" t="s">
        <v>451</v>
      </c>
      <c r="F245" s="21" t="s">
        <v>1430</v>
      </c>
      <c r="G245" s="21">
        <v>10.050000000000001</v>
      </c>
      <c r="I245" s="21" t="s">
        <v>476</v>
      </c>
      <c r="J245" s="21" t="s">
        <v>1431</v>
      </c>
      <c r="L245" s="21" t="s">
        <v>469</v>
      </c>
      <c r="P245" s="21" t="s">
        <v>155</v>
      </c>
    </row>
    <row r="246" spans="1:16" ht="262.5">
      <c r="A246" s="21">
        <v>250</v>
      </c>
      <c r="B246" s="21" t="s">
        <v>1432</v>
      </c>
      <c r="C246" s="22" t="s">
        <v>1433</v>
      </c>
      <c r="D246" s="21" t="s">
        <v>58</v>
      </c>
      <c r="E246" s="21" t="s">
        <v>451</v>
      </c>
      <c r="F246" s="21" t="s">
        <v>1434</v>
      </c>
      <c r="G246" s="21">
        <v>10.06</v>
      </c>
      <c r="I246" s="21" t="s">
        <v>476</v>
      </c>
      <c r="J246" s="21" t="s">
        <v>1435</v>
      </c>
      <c r="L246" s="21" t="s">
        <v>469</v>
      </c>
      <c r="P246" s="21" t="s">
        <v>155</v>
      </c>
    </row>
    <row r="247" spans="1:16" ht="262.5">
      <c r="A247" s="21">
        <v>251</v>
      </c>
      <c r="B247" s="21" t="s">
        <v>1436</v>
      </c>
      <c r="C247" s="22" t="s">
        <v>1437</v>
      </c>
      <c r="D247" s="21" t="s">
        <v>58</v>
      </c>
      <c r="E247" s="21" t="s">
        <v>451</v>
      </c>
      <c r="F247" s="21" t="s">
        <v>1438</v>
      </c>
      <c r="G247" s="21">
        <v>10.07</v>
      </c>
      <c r="I247" s="21" t="s">
        <v>476</v>
      </c>
      <c r="J247" s="21" t="s">
        <v>1439</v>
      </c>
      <c r="L247" s="21" t="s">
        <v>469</v>
      </c>
      <c r="P247" s="21" t="s">
        <v>155</v>
      </c>
    </row>
    <row r="248" spans="1:16" ht="72">
      <c r="A248" s="21">
        <v>252</v>
      </c>
      <c r="B248" s="21" t="s">
        <v>1440</v>
      </c>
      <c r="C248" s="22" t="s">
        <v>1441</v>
      </c>
      <c r="D248" s="21" t="s">
        <v>58</v>
      </c>
      <c r="E248" s="21" t="s">
        <v>451</v>
      </c>
      <c r="F248" s="21" t="s">
        <v>1442</v>
      </c>
      <c r="G248" s="21">
        <v>10.08</v>
      </c>
      <c r="I248" s="21" t="s">
        <v>476</v>
      </c>
      <c r="J248" s="21" t="s">
        <v>1443</v>
      </c>
      <c r="L248" s="21" t="s">
        <v>444</v>
      </c>
      <c r="P248" s="21" t="s">
        <v>155</v>
      </c>
    </row>
    <row r="249" spans="1:16" ht="226.5">
      <c r="A249" s="21">
        <v>253</v>
      </c>
      <c r="B249" s="21" t="s">
        <v>1444</v>
      </c>
      <c r="C249" s="22" t="s">
        <v>1445</v>
      </c>
      <c r="D249" s="21" t="s">
        <v>58</v>
      </c>
      <c r="E249" s="21" t="s">
        <v>482</v>
      </c>
      <c r="F249" s="21" t="s">
        <v>1446</v>
      </c>
      <c r="G249" s="21">
        <v>10.09</v>
      </c>
      <c r="I249" s="21" t="s">
        <v>476</v>
      </c>
      <c r="J249" s="21" t="s">
        <v>1447</v>
      </c>
      <c r="L249" s="21" t="s">
        <v>444</v>
      </c>
      <c r="P249" s="21" t="s">
        <v>155</v>
      </c>
    </row>
    <row r="250" spans="1:16" ht="250.5">
      <c r="A250" s="21">
        <v>254</v>
      </c>
      <c r="B250" s="21" t="s">
        <v>1448</v>
      </c>
      <c r="C250" s="22" t="s">
        <v>1449</v>
      </c>
      <c r="D250" s="21" t="s">
        <v>58</v>
      </c>
      <c r="E250" s="21" t="s">
        <v>482</v>
      </c>
      <c r="F250" s="21" t="s">
        <v>1450</v>
      </c>
      <c r="G250" s="21">
        <v>10.1</v>
      </c>
      <c r="I250" s="21" t="s">
        <v>476</v>
      </c>
      <c r="J250" s="21" t="s">
        <v>1451</v>
      </c>
      <c r="L250" s="21" t="s">
        <v>444</v>
      </c>
      <c r="P250" s="21" t="s">
        <v>155</v>
      </c>
    </row>
    <row r="251" spans="1:16" ht="36">
      <c r="A251" s="21">
        <v>255</v>
      </c>
      <c r="B251" s="21" t="s">
        <v>1452</v>
      </c>
      <c r="C251" s="22" t="s">
        <v>1453</v>
      </c>
      <c r="D251" s="21" t="s">
        <v>58</v>
      </c>
      <c r="E251" s="21" t="s">
        <v>482</v>
      </c>
      <c r="F251" s="21" t="s">
        <v>1454</v>
      </c>
      <c r="G251" s="21">
        <v>10.11</v>
      </c>
      <c r="I251" s="21" t="s">
        <v>476</v>
      </c>
      <c r="J251" s="21" t="s">
        <v>1455</v>
      </c>
      <c r="L251" s="21" t="s">
        <v>444</v>
      </c>
      <c r="P251" s="21" t="s">
        <v>155</v>
      </c>
    </row>
    <row r="252" spans="1:16" ht="24">
      <c r="A252" s="21">
        <v>256</v>
      </c>
      <c r="B252" s="21" t="s">
        <v>1456</v>
      </c>
      <c r="C252" s="22" t="s">
        <v>1456</v>
      </c>
      <c r="D252" s="21" t="s">
        <v>58</v>
      </c>
      <c r="E252" s="21" t="s">
        <v>567</v>
      </c>
      <c r="F252" s="21" t="s">
        <v>1457</v>
      </c>
      <c r="G252" s="21">
        <v>19</v>
      </c>
      <c r="I252" s="21" t="s">
        <v>1226</v>
      </c>
      <c r="J252" s="21" t="s">
        <v>1458</v>
      </c>
      <c r="L252" s="21" t="s">
        <v>1365</v>
      </c>
      <c r="P252" s="21" t="s">
        <v>155</v>
      </c>
    </row>
    <row r="253" spans="1:16" ht="84">
      <c r="A253" s="21">
        <v>257</v>
      </c>
      <c r="B253" s="21" t="s">
        <v>1393</v>
      </c>
      <c r="C253" s="22" t="s">
        <v>1394</v>
      </c>
      <c r="D253" s="21" t="s">
        <v>58</v>
      </c>
      <c r="E253" s="21" t="s">
        <v>1459</v>
      </c>
      <c r="F253" s="21" t="s">
        <v>1460</v>
      </c>
      <c r="I253" s="21" t="s">
        <v>194</v>
      </c>
      <c r="J253" s="21" t="s">
        <v>1461</v>
      </c>
      <c r="L253" s="21" t="s">
        <v>383</v>
      </c>
      <c r="P253" s="21" t="s">
        <v>155</v>
      </c>
    </row>
    <row r="254" spans="1:16" ht="36">
      <c r="A254" s="21">
        <v>258</v>
      </c>
      <c r="B254" s="21" t="s">
        <v>1462</v>
      </c>
      <c r="C254" s="22" t="s">
        <v>1463</v>
      </c>
      <c r="D254" s="21" t="s">
        <v>58</v>
      </c>
      <c r="E254" s="21" t="s">
        <v>431</v>
      </c>
      <c r="F254" s="21" t="s">
        <v>1464</v>
      </c>
      <c r="H254" s="21" t="s">
        <v>1465</v>
      </c>
      <c r="I254" s="21" t="s">
        <v>62</v>
      </c>
      <c r="J254" s="21" t="s">
        <v>1466</v>
      </c>
      <c r="L254" s="21" t="s">
        <v>444</v>
      </c>
      <c r="M254" s="21" t="s">
        <v>1467</v>
      </c>
      <c r="N254" s="21" t="s">
        <v>1468</v>
      </c>
      <c r="P254" s="21" t="s">
        <v>155</v>
      </c>
    </row>
    <row r="255" spans="1:16" ht="60">
      <c r="A255" s="21">
        <v>259</v>
      </c>
      <c r="B255" s="21" t="s">
        <v>1469</v>
      </c>
      <c r="C255" s="22" t="s">
        <v>1470</v>
      </c>
      <c r="D255" s="21" t="s">
        <v>58</v>
      </c>
      <c r="E255" s="21" t="s">
        <v>431</v>
      </c>
      <c r="F255" s="21" t="s">
        <v>1471</v>
      </c>
      <c r="I255" s="21" t="s">
        <v>587</v>
      </c>
      <c r="J255" s="21" t="s">
        <v>1472</v>
      </c>
      <c r="L255" s="21" t="s">
        <v>444</v>
      </c>
      <c r="P255" s="21" t="s">
        <v>155</v>
      </c>
    </row>
    <row r="256" spans="1:16" ht="84">
      <c r="A256" s="21">
        <v>260</v>
      </c>
      <c r="B256" s="21" t="s">
        <v>1473</v>
      </c>
      <c r="C256" s="22" t="s">
        <v>1474</v>
      </c>
      <c r="D256" s="21" t="s">
        <v>58</v>
      </c>
      <c r="E256" s="21" t="s">
        <v>482</v>
      </c>
      <c r="F256" s="21" t="s">
        <v>1475</v>
      </c>
      <c r="G256" s="21">
        <v>11.12</v>
      </c>
      <c r="I256" s="21" t="s">
        <v>587</v>
      </c>
      <c r="J256" s="21" t="s">
        <v>1476</v>
      </c>
      <c r="L256" s="21" t="s">
        <v>1385</v>
      </c>
      <c r="P256" s="21" t="s">
        <v>155</v>
      </c>
    </row>
    <row r="257" spans="1:16" ht="118.5">
      <c r="A257" s="21">
        <v>261</v>
      </c>
      <c r="B257" s="21" t="s">
        <v>1477</v>
      </c>
      <c r="C257" s="22" t="s">
        <v>1478</v>
      </c>
      <c r="D257" s="21" t="s">
        <v>58</v>
      </c>
      <c r="E257" s="21" t="s">
        <v>431</v>
      </c>
      <c r="F257" s="21" t="s">
        <v>1479</v>
      </c>
      <c r="I257" s="21" t="s">
        <v>587</v>
      </c>
      <c r="J257" s="21" t="s">
        <v>1480</v>
      </c>
      <c r="L257" s="21" t="s">
        <v>444</v>
      </c>
      <c r="P257" s="21" t="s">
        <v>155</v>
      </c>
    </row>
    <row r="258" spans="1:16" ht="60">
      <c r="A258" s="21">
        <v>262</v>
      </c>
      <c r="B258" s="21" t="s">
        <v>1481</v>
      </c>
      <c r="C258" s="22" t="s">
        <v>1482</v>
      </c>
      <c r="D258" s="21" t="s">
        <v>58</v>
      </c>
      <c r="E258" s="21" t="s">
        <v>1006</v>
      </c>
      <c r="F258" s="21" t="s">
        <v>1483</v>
      </c>
      <c r="G258" s="21">
        <v>11.11</v>
      </c>
      <c r="I258" s="21" t="s">
        <v>1249</v>
      </c>
      <c r="J258" s="21" t="s">
        <v>1484</v>
      </c>
      <c r="L258" s="21" t="s">
        <v>1008</v>
      </c>
      <c r="P258" s="21" t="s">
        <v>155</v>
      </c>
    </row>
    <row r="259" spans="1:16" ht="107.25">
      <c r="A259" s="21">
        <v>263</v>
      </c>
      <c r="B259" s="21" t="s">
        <v>1485</v>
      </c>
      <c r="C259" s="22" t="s">
        <v>1486</v>
      </c>
      <c r="D259" s="21" t="s">
        <v>58</v>
      </c>
      <c r="E259" s="21" t="s">
        <v>1006</v>
      </c>
      <c r="F259" s="21" t="s">
        <v>1487</v>
      </c>
      <c r="G259" s="21">
        <v>11.12</v>
      </c>
      <c r="I259" s="21" t="s">
        <v>1249</v>
      </c>
      <c r="J259" s="21" t="s">
        <v>1488</v>
      </c>
      <c r="L259" s="21" t="s">
        <v>1008</v>
      </c>
      <c r="P259" s="21" t="s">
        <v>155</v>
      </c>
    </row>
    <row r="260" spans="1:16" ht="84">
      <c r="A260" s="21">
        <v>264</v>
      </c>
      <c r="B260" s="21" t="s">
        <v>1489</v>
      </c>
      <c r="C260" s="22" t="s">
        <v>1490</v>
      </c>
      <c r="D260" s="21" t="s">
        <v>58</v>
      </c>
      <c r="E260" s="21" t="s">
        <v>567</v>
      </c>
      <c r="F260" s="21" t="s">
        <v>1491</v>
      </c>
      <c r="G260" s="21">
        <v>11.13</v>
      </c>
      <c r="I260" s="21" t="s">
        <v>1249</v>
      </c>
      <c r="J260" s="21" t="s">
        <v>1492</v>
      </c>
      <c r="L260" s="21" t="s">
        <v>571</v>
      </c>
      <c r="P260" s="21" t="s">
        <v>155</v>
      </c>
    </row>
    <row r="261" spans="1:16" ht="24">
      <c r="A261" s="21">
        <v>265</v>
      </c>
      <c r="B261" s="21" t="s">
        <v>1493</v>
      </c>
      <c r="C261" s="22" t="s">
        <v>1494</v>
      </c>
      <c r="D261" s="21" t="s">
        <v>58</v>
      </c>
      <c r="E261" s="21" t="s">
        <v>567</v>
      </c>
      <c r="F261" s="21" t="s">
        <v>1495</v>
      </c>
      <c r="G261" s="21">
        <v>11.14</v>
      </c>
      <c r="I261" s="21" t="s">
        <v>1249</v>
      </c>
      <c r="J261" s="21" t="s">
        <v>1496</v>
      </c>
      <c r="L261" s="21" t="s">
        <v>571</v>
      </c>
      <c r="P261" s="21" t="s">
        <v>155</v>
      </c>
    </row>
    <row r="262" spans="1:16" ht="154.5">
      <c r="A262" s="21">
        <v>266</v>
      </c>
      <c r="B262" s="21" t="s">
        <v>1497</v>
      </c>
      <c r="C262" s="22" t="s">
        <v>1498</v>
      </c>
      <c r="D262" s="21" t="s">
        <v>58</v>
      </c>
      <c r="E262" s="21" t="s">
        <v>1499</v>
      </c>
      <c r="F262" s="21" t="s">
        <v>1500</v>
      </c>
      <c r="I262" s="21" t="s">
        <v>476</v>
      </c>
      <c r="J262" s="21" t="s">
        <v>1501</v>
      </c>
      <c r="L262" s="21" t="s">
        <v>444</v>
      </c>
      <c r="M262" s="21" t="s">
        <v>1502</v>
      </c>
      <c r="P262" s="21" t="s">
        <v>155</v>
      </c>
    </row>
    <row r="263" spans="1:16" ht="36">
      <c r="A263" s="21">
        <v>267</v>
      </c>
      <c r="B263" s="21" t="s">
        <v>1503</v>
      </c>
      <c r="C263" s="22" t="s">
        <v>1504</v>
      </c>
      <c r="D263" s="21" t="s">
        <v>58</v>
      </c>
      <c r="E263" s="21" t="s">
        <v>1505</v>
      </c>
      <c r="F263" s="21" t="s">
        <v>1506</v>
      </c>
      <c r="G263" s="21" t="s">
        <v>1507</v>
      </c>
      <c r="I263" s="21" t="s">
        <v>194</v>
      </c>
      <c r="J263" s="21" t="s">
        <v>1508</v>
      </c>
      <c r="L263" s="21" t="s">
        <v>469</v>
      </c>
      <c r="P263" s="21" t="s">
        <v>155</v>
      </c>
    </row>
    <row r="264" spans="1:16" ht="48">
      <c r="A264" s="21">
        <v>268</v>
      </c>
      <c r="B264" s="21" t="s">
        <v>1509</v>
      </c>
      <c r="C264" s="22" t="s">
        <v>1510</v>
      </c>
      <c r="D264" s="21" t="s">
        <v>58</v>
      </c>
      <c r="E264" s="21" t="s">
        <v>1511</v>
      </c>
      <c r="F264" s="21" t="s">
        <v>1506</v>
      </c>
      <c r="G264" s="21" t="s">
        <v>1507</v>
      </c>
      <c r="I264" s="21" t="s">
        <v>1512</v>
      </c>
      <c r="J264" s="21" t="s">
        <v>1513</v>
      </c>
      <c r="L264" s="21" t="s">
        <v>1514</v>
      </c>
      <c r="P264" s="21" t="s">
        <v>155</v>
      </c>
    </row>
    <row r="265" spans="1:16" ht="84">
      <c r="A265" s="21">
        <v>269</v>
      </c>
      <c r="B265" s="21" t="s">
        <v>1515</v>
      </c>
      <c r="C265" s="22" t="s">
        <v>1516</v>
      </c>
      <c r="D265" s="21" t="s">
        <v>58</v>
      </c>
      <c r="E265" s="21" t="s">
        <v>431</v>
      </c>
      <c r="F265" s="21" t="s">
        <v>1517</v>
      </c>
      <c r="H265" s="21" t="s">
        <v>1518</v>
      </c>
      <c r="I265" s="21" t="s">
        <v>467</v>
      </c>
      <c r="J265" s="21" t="s">
        <v>1519</v>
      </c>
      <c r="L265" s="21" t="s">
        <v>444</v>
      </c>
      <c r="N265" s="21" t="s">
        <v>1520</v>
      </c>
      <c r="P265" s="21" t="s">
        <v>155</v>
      </c>
    </row>
    <row r="266" spans="1:16" ht="84">
      <c r="A266" s="21">
        <v>270</v>
      </c>
      <c r="B266" s="21" t="s">
        <v>1521</v>
      </c>
      <c r="C266" s="22" t="s">
        <v>1522</v>
      </c>
      <c r="D266" s="21" t="s">
        <v>58</v>
      </c>
      <c r="E266" s="21" t="s">
        <v>431</v>
      </c>
      <c r="F266" s="21" t="s">
        <v>1517</v>
      </c>
      <c r="H266" s="21" t="s">
        <v>1518</v>
      </c>
      <c r="I266" s="21" t="s">
        <v>467</v>
      </c>
      <c r="J266" s="21" t="s">
        <v>1523</v>
      </c>
      <c r="L266" s="21" t="s">
        <v>444</v>
      </c>
      <c r="N266" s="21" t="s">
        <v>1524</v>
      </c>
      <c r="P266" s="21" t="s">
        <v>155</v>
      </c>
    </row>
    <row r="267" spans="1:16" ht="84">
      <c r="A267" s="21">
        <v>271</v>
      </c>
      <c r="B267" s="21" t="s">
        <v>1525</v>
      </c>
      <c r="C267" s="22" t="s">
        <v>1526</v>
      </c>
      <c r="D267" s="21" t="s">
        <v>58</v>
      </c>
      <c r="E267" s="21" t="s">
        <v>431</v>
      </c>
      <c r="F267" s="21" t="s">
        <v>1517</v>
      </c>
      <c r="H267" s="21" t="s">
        <v>1518</v>
      </c>
      <c r="I267" s="21" t="s">
        <v>467</v>
      </c>
      <c r="J267" s="21" t="s">
        <v>1527</v>
      </c>
      <c r="L267" s="21" t="s">
        <v>444</v>
      </c>
      <c r="N267" s="21" t="s">
        <v>1528</v>
      </c>
      <c r="P267" s="21" t="s">
        <v>155</v>
      </c>
    </row>
    <row r="268" spans="1:16" ht="84">
      <c r="A268" s="21">
        <v>272</v>
      </c>
      <c r="B268" s="21" t="s">
        <v>1529</v>
      </c>
      <c r="C268" s="22" t="s">
        <v>1530</v>
      </c>
      <c r="D268" s="21" t="s">
        <v>58</v>
      </c>
      <c r="E268" s="21" t="s">
        <v>431</v>
      </c>
      <c r="F268" s="21" t="s">
        <v>1517</v>
      </c>
      <c r="H268" s="21" t="s">
        <v>1518</v>
      </c>
      <c r="I268" s="21" t="s">
        <v>467</v>
      </c>
      <c r="J268" s="21" t="s">
        <v>1531</v>
      </c>
      <c r="L268" s="21" t="s">
        <v>444</v>
      </c>
      <c r="N268" s="21" t="s">
        <v>1532</v>
      </c>
      <c r="P268" s="21" t="s">
        <v>155</v>
      </c>
    </row>
    <row r="269" spans="1:16" ht="84">
      <c r="A269" s="21">
        <v>273</v>
      </c>
      <c r="B269" s="21" t="s">
        <v>1533</v>
      </c>
      <c r="C269" s="22" t="s">
        <v>1534</v>
      </c>
      <c r="D269" s="21" t="s">
        <v>58</v>
      </c>
      <c r="E269" s="21" t="s">
        <v>431</v>
      </c>
      <c r="F269" s="21" t="s">
        <v>1517</v>
      </c>
      <c r="H269" s="21" t="s">
        <v>1518</v>
      </c>
      <c r="I269" s="21" t="s">
        <v>467</v>
      </c>
      <c r="J269" s="21" t="s">
        <v>1535</v>
      </c>
      <c r="L269" s="21" t="s">
        <v>444</v>
      </c>
      <c r="N269" s="21" t="s">
        <v>1536</v>
      </c>
      <c r="P269" s="21" t="s">
        <v>155</v>
      </c>
    </row>
    <row r="270" spans="1:16" ht="321.75">
      <c r="A270" s="21">
        <v>274</v>
      </c>
      <c r="B270" s="21" t="s">
        <v>1537</v>
      </c>
      <c r="C270" s="22" t="s">
        <v>1538</v>
      </c>
      <c r="D270" s="21" t="s">
        <v>58</v>
      </c>
      <c r="E270" s="21" t="s">
        <v>431</v>
      </c>
      <c r="F270" s="21" t="s">
        <v>1539</v>
      </c>
      <c r="H270" s="21" t="s">
        <v>1540</v>
      </c>
      <c r="I270" s="21" t="s">
        <v>467</v>
      </c>
      <c r="J270" s="21" t="s">
        <v>1541</v>
      </c>
      <c r="L270" s="21" t="s">
        <v>469</v>
      </c>
      <c r="N270" s="21" t="s">
        <v>1542</v>
      </c>
      <c r="P270" s="21" t="s">
        <v>155</v>
      </c>
    </row>
    <row r="271" spans="1:16" ht="321.75">
      <c r="A271" s="21">
        <v>275</v>
      </c>
      <c r="B271" s="21" t="s">
        <v>1543</v>
      </c>
      <c r="C271" s="22" t="s">
        <v>1544</v>
      </c>
      <c r="D271" s="21" t="s">
        <v>58</v>
      </c>
      <c r="E271" s="21" t="s">
        <v>431</v>
      </c>
      <c r="F271" s="21" t="s">
        <v>1545</v>
      </c>
      <c r="H271" s="21" t="s">
        <v>1546</v>
      </c>
      <c r="I271" s="21" t="s">
        <v>467</v>
      </c>
      <c r="J271" s="21" t="s">
        <v>1547</v>
      </c>
      <c r="L271" s="21" t="s">
        <v>469</v>
      </c>
      <c r="N271" s="21" t="s">
        <v>1548</v>
      </c>
      <c r="P271" s="21" t="s">
        <v>155</v>
      </c>
    </row>
    <row r="272" spans="1:16" ht="309.75">
      <c r="A272" s="21">
        <v>276</v>
      </c>
      <c r="B272" s="21" t="s">
        <v>1549</v>
      </c>
      <c r="C272" s="22" t="s">
        <v>1550</v>
      </c>
      <c r="D272" s="21" t="s">
        <v>58</v>
      </c>
      <c r="E272" s="21" t="s">
        <v>431</v>
      </c>
      <c r="F272" s="21" t="s">
        <v>1551</v>
      </c>
      <c r="H272" s="21" t="s">
        <v>1552</v>
      </c>
      <c r="I272" s="21" t="s">
        <v>467</v>
      </c>
      <c r="J272" s="21" t="s">
        <v>1553</v>
      </c>
      <c r="L272" s="21" t="s">
        <v>469</v>
      </c>
      <c r="N272" s="21" t="s">
        <v>1554</v>
      </c>
      <c r="P272" s="21" t="s">
        <v>155</v>
      </c>
    </row>
    <row r="273" spans="1:16" ht="309.75">
      <c r="A273" s="21">
        <v>277</v>
      </c>
      <c r="B273" s="21" t="s">
        <v>1555</v>
      </c>
      <c r="C273" s="22" t="s">
        <v>1556</v>
      </c>
      <c r="D273" s="21" t="s">
        <v>58</v>
      </c>
      <c r="E273" s="21" t="s">
        <v>431</v>
      </c>
      <c r="F273" s="21" t="s">
        <v>1557</v>
      </c>
      <c r="H273" s="21" t="s">
        <v>1558</v>
      </c>
      <c r="I273" s="21" t="s">
        <v>467</v>
      </c>
      <c r="J273" s="21" t="s">
        <v>1559</v>
      </c>
      <c r="L273" s="21" t="s">
        <v>469</v>
      </c>
      <c r="N273" s="21" t="s">
        <v>1560</v>
      </c>
      <c r="P273" s="21" t="s">
        <v>155</v>
      </c>
    </row>
    <row r="274" spans="1:16" ht="309.75">
      <c r="A274" s="21">
        <v>278</v>
      </c>
      <c r="B274" s="21" t="s">
        <v>1561</v>
      </c>
      <c r="C274" s="22" t="s">
        <v>1562</v>
      </c>
      <c r="D274" s="21" t="s">
        <v>58</v>
      </c>
      <c r="E274" s="21" t="s">
        <v>431</v>
      </c>
      <c r="F274" s="21" t="s">
        <v>1563</v>
      </c>
      <c r="H274" s="21" t="s">
        <v>1564</v>
      </c>
      <c r="I274" s="21" t="s">
        <v>467</v>
      </c>
      <c r="J274" s="21" t="s">
        <v>1565</v>
      </c>
      <c r="L274" s="21" t="s">
        <v>469</v>
      </c>
      <c r="N274" s="21" t="s">
        <v>1566</v>
      </c>
      <c r="P274" s="21" t="s">
        <v>155</v>
      </c>
    </row>
    <row r="275" spans="1:16" ht="321.75">
      <c r="A275" s="21">
        <v>279</v>
      </c>
      <c r="B275" s="21" t="s">
        <v>1567</v>
      </c>
      <c r="C275" s="22" t="s">
        <v>1568</v>
      </c>
      <c r="D275" s="21" t="s">
        <v>58</v>
      </c>
      <c r="E275" s="21" t="s">
        <v>431</v>
      </c>
      <c r="F275" s="21" t="s">
        <v>1569</v>
      </c>
      <c r="H275" s="21" t="s">
        <v>1570</v>
      </c>
      <c r="I275" s="21" t="s">
        <v>467</v>
      </c>
      <c r="J275" s="21" t="s">
        <v>1571</v>
      </c>
      <c r="L275" s="21" t="s">
        <v>469</v>
      </c>
      <c r="N275" s="21" t="s">
        <v>1572</v>
      </c>
      <c r="P275" s="21" t="s">
        <v>155</v>
      </c>
    </row>
    <row r="276" spans="1:16" ht="321.75">
      <c r="A276" s="21">
        <v>280</v>
      </c>
      <c r="B276" s="21" t="s">
        <v>1573</v>
      </c>
      <c r="C276" s="22" t="s">
        <v>1574</v>
      </c>
      <c r="D276" s="21" t="s">
        <v>58</v>
      </c>
      <c r="E276" s="21" t="s">
        <v>1006</v>
      </c>
      <c r="F276" s="21" t="s">
        <v>1575</v>
      </c>
      <c r="H276" s="21" t="s">
        <v>1576</v>
      </c>
      <c r="I276" s="21" t="s">
        <v>1512</v>
      </c>
      <c r="J276" s="21" t="s">
        <v>1577</v>
      </c>
      <c r="L276" s="21" t="s">
        <v>469</v>
      </c>
      <c r="N276" s="21" t="s">
        <v>1578</v>
      </c>
      <c r="P276" s="21" t="s">
        <v>155</v>
      </c>
    </row>
    <row r="277" spans="1:16" ht="321.75">
      <c r="A277" s="21">
        <v>281</v>
      </c>
      <c r="B277" s="21" t="s">
        <v>1579</v>
      </c>
      <c r="C277" s="22" t="s">
        <v>1580</v>
      </c>
      <c r="D277" s="21" t="s">
        <v>58</v>
      </c>
      <c r="E277" s="21" t="s">
        <v>1006</v>
      </c>
      <c r="F277" s="21" t="s">
        <v>1581</v>
      </c>
      <c r="H277" s="21" t="s">
        <v>1582</v>
      </c>
      <c r="I277" s="21" t="s">
        <v>1512</v>
      </c>
      <c r="J277" s="21" t="s">
        <v>1583</v>
      </c>
      <c r="L277" s="21" t="s">
        <v>469</v>
      </c>
      <c r="N277" s="21" t="s">
        <v>1584</v>
      </c>
      <c r="P277" s="21" t="s">
        <v>155</v>
      </c>
    </row>
    <row r="278" spans="1:16" ht="309.75">
      <c r="A278" s="21">
        <v>282</v>
      </c>
      <c r="B278" s="21" t="s">
        <v>1585</v>
      </c>
      <c r="C278" s="22" t="s">
        <v>1586</v>
      </c>
      <c r="D278" s="21" t="s">
        <v>58</v>
      </c>
      <c r="E278" s="21" t="s">
        <v>1006</v>
      </c>
      <c r="F278" s="21" t="s">
        <v>1587</v>
      </c>
      <c r="H278" s="21" t="s">
        <v>1588</v>
      </c>
      <c r="I278" s="21" t="s">
        <v>1512</v>
      </c>
      <c r="J278" s="21" t="s">
        <v>1589</v>
      </c>
      <c r="L278" s="21" t="s">
        <v>469</v>
      </c>
      <c r="N278" s="21" t="s">
        <v>1590</v>
      </c>
      <c r="P278" s="21" t="s">
        <v>155</v>
      </c>
    </row>
    <row r="279" spans="1:16" ht="309.75">
      <c r="A279" s="21">
        <v>283</v>
      </c>
      <c r="B279" s="21" t="s">
        <v>1591</v>
      </c>
      <c r="C279" s="22" t="s">
        <v>1592</v>
      </c>
      <c r="D279" s="21" t="s">
        <v>58</v>
      </c>
      <c r="E279" s="21" t="s">
        <v>1006</v>
      </c>
      <c r="F279" s="21" t="s">
        <v>1593</v>
      </c>
      <c r="H279" s="21" t="s">
        <v>1594</v>
      </c>
      <c r="I279" s="21" t="s">
        <v>1512</v>
      </c>
      <c r="J279" s="21" t="s">
        <v>1595</v>
      </c>
      <c r="L279" s="21" t="s">
        <v>469</v>
      </c>
      <c r="N279" s="21" t="s">
        <v>1596</v>
      </c>
      <c r="P279" s="21" t="s">
        <v>155</v>
      </c>
    </row>
    <row r="280" spans="1:16" ht="309.75">
      <c r="A280" s="21">
        <v>284</v>
      </c>
      <c r="B280" s="21" t="s">
        <v>1597</v>
      </c>
      <c r="C280" s="22" t="s">
        <v>1598</v>
      </c>
      <c r="D280" s="21" t="s">
        <v>58</v>
      </c>
      <c r="E280" s="21" t="s">
        <v>1006</v>
      </c>
      <c r="F280" s="21" t="s">
        <v>1599</v>
      </c>
      <c r="H280" s="21" t="s">
        <v>1600</v>
      </c>
      <c r="I280" s="21" t="s">
        <v>1512</v>
      </c>
      <c r="J280" s="21" t="s">
        <v>1601</v>
      </c>
      <c r="L280" s="21" t="s">
        <v>469</v>
      </c>
      <c r="N280" s="21" t="s">
        <v>1602</v>
      </c>
      <c r="P280" s="21" t="s">
        <v>155</v>
      </c>
    </row>
    <row r="281" spans="1:16" ht="321.75">
      <c r="A281" s="21">
        <v>285</v>
      </c>
      <c r="B281" s="21" t="s">
        <v>1603</v>
      </c>
      <c r="C281" s="22" t="s">
        <v>1604</v>
      </c>
      <c r="D281" s="21" t="s">
        <v>58</v>
      </c>
      <c r="E281" s="21" t="s">
        <v>1006</v>
      </c>
      <c r="F281" s="21" t="s">
        <v>1605</v>
      </c>
      <c r="H281" s="21" t="s">
        <v>1606</v>
      </c>
      <c r="I281" s="21" t="s">
        <v>1512</v>
      </c>
      <c r="J281" s="21" t="s">
        <v>1607</v>
      </c>
      <c r="L281" s="21" t="s">
        <v>469</v>
      </c>
      <c r="N281" s="21" t="s">
        <v>1608</v>
      </c>
      <c r="P281" s="21" t="s">
        <v>155</v>
      </c>
    </row>
    <row r="282" spans="1:16" ht="107.25">
      <c r="A282" s="21">
        <v>286</v>
      </c>
      <c r="B282" s="21" t="s">
        <v>1609</v>
      </c>
      <c r="C282" s="22" t="s">
        <v>1610</v>
      </c>
      <c r="D282" s="21" t="s">
        <v>58</v>
      </c>
      <c r="E282" s="21" t="s">
        <v>1006</v>
      </c>
      <c r="F282" s="21" t="s">
        <v>1517</v>
      </c>
      <c r="H282" s="21" t="s">
        <v>1611</v>
      </c>
      <c r="I282" s="21" t="s">
        <v>1512</v>
      </c>
      <c r="J282" s="21" t="s">
        <v>1612</v>
      </c>
      <c r="L282" s="21" t="s">
        <v>1008</v>
      </c>
      <c r="N282" s="21" t="s">
        <v>1613</v>
      </c>
      <c r="P282" s="21" t="s">
        <v>155</v>
      </c>
    </row>
    <row r="283" spans="1:16" ht="107.25">
      <c r="A283" s="21">
        <v>287</v>
      </c>
      <c r="B283" s="21" t="s">
        <v>1614</v>
      </c>
      <c r="C283" s="22" t="s">
        <v>1615</v>
      </c>
      <c r="D283" s="21" t="s">
        <v>58</v>
      </c>
      <c r="E283" s="21" t="s">
        <v>1006</v>
      </c>
      <c r="F283" s="21" t="s">
        <v>1517</v>
      </c>
      <c r="H283" s="21" t="s">
        <v>1611</v>
      </c>
      <c r="I283" s="21" t="s">
        <v>1512</v>
      </c>
      <c r="J283" s="21" t="s">
        <v>1616</v>
      </c>
      <c r="L283" s="21" t="s">
        <v>1008</v>
      </c>
      <c r="N283" s="21" t="s">
        <v>1617</v>
      </c>
      <c r="P283" s="21" t="s">
        <v>155</v>
      </c>
    </row>
    <row r="284" spans="1:16" ht="107.25">
      <c r="A284" s="21">
        <v>288</v>
      </c>
      <c r="B284" s="21" t="s">
        <v>1618</v>
      </c>
      <c r="C284" s="22" t="s">
        <v>1619</v>
      </c>
      <c r="D284" s="21" t="s">
        <v>58</v>
      </c>
      <c r="E284" s="21" t="s">
        <v>1006</v>
      </c>
      <c r="F284" s="21" t="s">
        <v>1517</v>
      </c>
      <c r="H284" s="21" t="s">
        <v>1611</v>
      </c>
      <c r="I284" s="21" t="s">
        <v>1512</v>
      </c>
      <c r="J284" s="21" t="s">
        <v>1620</v>
      </c>
      <c r="L284" s="21" t="s">
        <v>1008</v>
      </c>
      <c r="N284" s="21" t="s">
        <v>1621</v>
      </c>
      <c r="P284" s="21" t="s">
        <v>155</v>
      </c>
    </row>
    <row r="285" spans="1:16" ht="107.25">
      <c r="A285" s="21">
        <v>289</v>
      </c>
      <c r="B285" s="21" t="s">
        <v>1622</v>
      </c>
      <c r="C285" s="22" t="s">
        <v>1623</v>
      </c>
      <c r="D285" s="21" t="s">
        <v>58</v>
      </c>
      <c r="E285" s="21" t="s">
        <v>1006</v>
      </c>
      <c r="F285" s="21" t="s">
        <v>1517</v>
      </c>
      <c r="H285" s="21" t="s">
        <v>1624</v>
      </c>
      <c r="I285" s="21" t="s">
        <v>1512</v>
      </c>
      <c r="J285" s="21" t="s">
        <v>1625</v>
      </c>
      <c r="L285" s="21" t="s">
        <v>1008</v>
      </c>
      <c r="N285" s="21" t="s">
        <v>1626</v>
      </c>
      <c r="P285" s="21" t="s">
        <v>155</v>
      </c>
    </row>
    <row r="286" spans="1:16" ht="107.25">
      <c r="A286" s="21">
        <v>290</v>
      </c>
      <c r="B286" s="21" t="s">
        <v>1627</v>
      </c>
      <c r="C286" s="22" t="s">
        <v>1628</v>
      </c>
      <c r="D286" s="21" t="s">
        <v>58</v>
      </c>
      <c r="E286" s="21" t="s">
        <v>1006</v>
      </c>
      <c r="F286" s="21" t="s">
        <v>1517</v>
      </c>
      <c r="H286" s="21" t="s">
        <v>1611</v>
      </c>
      <c r="I286" s="21" t="s">
        <v>1512</v>
      </c>
      <c r="J286" s="21" t="s">
        <v>1629</v>
      </c>
      <c r="L286" s="21" t="s">
        <v>1008</v>
      </c>
      <c r="N286" s="21" t="s">
        <v>1630</v>
      </c>
      <c r="P286" s="21" t="s">
        <v>155</v>
      </c>
    </row>
    <row r="287" spans="1:16" ht="36">
      <c r="A287" s="21">
        <v>291</v>
      </c>
      <c r="B287" s="21" t="s">
        <v>1631</v>
      </c>
      <c r="C287" s="22" t="s">
        <v>1632</v>
      </c>
      <c r="D287" s="21" t="s">
        <v>58</v>
      </c>
      <c r="E287" s="21" t="s">
        <v>1633</v>
      </c>
      <c r="F287" s="21" t="s">
        <v>1634</v>
      </c>
      <c r="G287" s="21" t="s">
        <v>1635</v>
      </c>
      <c r="H287" s="21" t="s">
        <v>1636</v>
      </c>
      <c r="I287" s="21" t="s">
        <v>62</v>
      </c>
      <c r="J287" s="21" t="s">
        <v>1637</v>
      </c>
      <c r="L287" s="21" t="s">
        <v>469</v>
      </c>
      <c r="N287" s="21" t="s">
        <v>1638</v>
      </c>
      <c r="P287" s="21" t="s">
        <v>155</v>
      </c>
    </row>
    <row r="288" spans="1:16" ht="36">
      <c r="A288" s="21">
        <v>292</v>
      </c>
      <c r="B288" s="21" t="s">
        <v>1631</v>
      </c>
      <c r="C288" s="22" t="s">
        <v>1639</v>
      </c>
      <c r="D288" s="21" t="s">
        <v>58</v>
      </c>
      <c r="E288" s="21" t="s">
        <v>567</v>
      </c>
      <c r="F288" s="21" t="s">
        <v>1640</v>
      </c>
      <c r="G288" s="21" t="s">
        <v>1635</v>
      </c>
      <c r="H288" s="21" t="s">
        <v>1636</v>
      </c>
      <c r="I288" s="21" t="s">
        <v>194</v>
      </c>
      <c r="J288" s="21" t="s">
        <v>1641</v>
      </c>
      <c r="L288" s="21" t="s">
        <v>469</v>
      </c>
      <c r="N288" s="21" t="s">
        <v>1642</v>
      </c>
      <c r="P288" s="21" t="s">
        <v>155</v>
      </c>
    </row>
    <row r="289" spans="1:15" ht="24">
      <c r="A289" s="21">
        <v>293</v>
      </c>
      <c r="B289" s="21" t="s">
        <v>1643</v>
      </c>
      <c r="C289" s="22" t="s">
        <v>1644</v>
      </c>
      <c r="D289" s="21" t="s">
        <v>1645</v>
      </c>
      <c r="F289" s="21" t="s">
        <v>1646</v>
      </c>
      <c r="G289" s="21" t="s">
        <v>1647</v>
      </c>
      <c r="I289" s="21" t="s">
        <v>1648</v>
      </c>
      <c r="J289" s="21" t="s">
        <v>1649</v>
      </c>
      <c r="N289" s="21" t="s">
        <v>1650</v>
      </c>
      <c r="O289" s="21" t="s">
        <v>1651</v>
      </c>
    </row>
    <row r="290" spans="1:15" ht="48">
      <c r="A290" s="21">
        <v>294</v>
      </c>
      <c r="B290" s="21" t="s">
        <v>1652</v>
      </c>
      <c r="C290" s="22" t="s">
        <v>1653</v>
      </c>
      <c r="D290" s="21" t="s">
        <v>1645</v>
      </c>
      <c r="F290" s="21" t="s">
        <v>1654</v>
      </c>
      <c r="G290" s="21" t="s">
        <v>1655</v>
      </c>
      <c r="I290" s="21" t="s">
        <v>1648</v>
      </c>
      <c r="J290" s="21" t="s">
        <v>1656</v>
      </c>
      <c r="N290" s="21" t="s">
        <v>1657</v>
      </c>
      <c r="O290" s="21" t="s">
        <v>1658</v>
      </c>
    </row>
    <row r="291" spans="1:15" ht="36">
      <c r="A291" s="21">
        <v>295</v>
      </c>
      <c r="B291" s="21" t="s">
        <v>1659</v>
      </c>
      <c r="C291" s="22" t="s">
        <v>1660</v>
      </c>
      <c r="D291" s="21" t="s">
        <v>1645</v>
      </c>
      <c r="F291" s="21" t="s">
        <v>1661</v>
      </c>
      <c r="G291" s="21" t="s">
        <v>1662</v>
      </c>
      <c r="I291" s="21" t="s">
        <v>1648</v>
      </c>
      <c r="J291" s="21" t="s">
        <v>1663</v>
      </c>
      <c r="N291" s="21" t="s">
        <v>1664</v>
      </c>
      <c r="O291" s="21" t="s">
        <v>1665</v>
      </c>
    </row>
    <row r="292" spans="1:15" ht="24">
      <c r="A292" s="21">
        <v>296</v>
      </c>
      <c r="B292" s="21" t="s">
        <v>1666</v>
      </c>
      <c r="C292" s="22" t="s">
        <v>1667</v>
      </c>
      <c r="D292" s="21" t="s">
        <v>1645</v>
      </c>
      <c r="F292" s="21" t="s">
        <v>1668</v>
      </c>
      <c r="G292" s="21" t="s">
        <v>1669</v>
      </c>
      <c r="I292" s="21" t="s">
        <v>1648</v>
      </c>
      <c r="J292" s="21" t="s">
        <v>1670</v>
      </c>
      <c r="N292" s="21" t="s">
        <v>1671</v>
      </c>
      <c r="O292" s="21" t="s">
        <v>1672</v>
      </c>
    </row>
    <row r="293" spans="1:15" ht="24">
      <c r="A293" s="21">
        <v>297</v>
      </c>
      <c r="B293" s="21" t="s">
        <v>1673</v>
      </c>
      <c r="C293" s="22" t="s">
        <v>1674</v>
      </c>
      <c r="D293" s="21" t="s">
        <v>1645</v>
      </c>
      <c r="F293" s="21" t="s">
        <v>1675</v>
      </c>
      <c r="G293" s="21" t="s">
        <v>1676</v>
      </c>
      <c r="I293" s="21" t="s">
        <v>1648</v>
      </c>
      <c r="J293" s="21" t="s">
        <v>1677</v>
      </c>
      <c r="N293" s="21" t="s">
        <v>1678</v>
      </c>
      <c r="O293" s="21" t="s">
        <v>1679</v>
      </c>
    </row>
    <row r="294" spans="1:15" ht="154.5">
      <c r="A294" s="21">
        <v>298</v>
      </c>
      <c r="B294" s="21" t="s">
        <v>1680</v>
      </c>
      <c r="C294" s="22" t="s">
        <v>1681</v>
      </c>
      <c r="D294" s="21" t="s">
        <v>1645</v>
      </c>
      <c r="F294" s="21" t="s">
        <v>1682</v>
      </c>
      <c r="G294" s="21" t="s">
        <v>1683</v>
      </c>
      <c r="I294" s="21" t="s">
        <v>1648</v>
      </c>
      <c r="J294" s="21" t="s">
        <v>1684</v>
      </c>
    </row>
    <row r="295" spans="1:15" ht="24">
      <c r="A295" s="21">
        <v>299</v>
      </c>
      <c r="B295" s="21" t="s">
        <v>1685</v>
      </c>
      <c r="C295" s="22" t="s">
        <v>1686</v>
      </c>
      <c r="D295" s="21" t="s">
        <v>1645</v>
      </c>
      <c r="F295" s="21" t="s">
        <v>1687</v>
      </c>
      <c r="G295" s="21" t="s">
        <v>1683</v>
      </c>
      <c r="K295" s="21" t="b">
        <v>1</v>
      </c>
    </row>
    <row r="296" spans="1:15" ht="60">
      <c r="A296" s="21">
        <v>300</v>
      </c>
      <c r="B296" s="21" t="s">
        <v>1688</v>
      </c>
      <c r="C296" s="22" t="s">
        <v>405</v>
      </c>
      <c r="D296" s="21" t="s">
        <v>1645</v>
      </c>
      <c r="F296" s="21" t="s">
        <v>1689</v>
      </c>
      <c r="G296" s="21" t="s">
        <v>82</v>
      </c>
      <c r="I296" s="21" t="s">
        <v>1648</v>
      </c>
      <c r="J296" s="21" t="s">
        <v>407</v>
      </c>
    </row>
    <row r="297" spans="1:15" ht="24">
      <c r="A297" s="21">
        <v>301</v>
      </c>
      <c r="B297" s="21" t="s">
        <v>1690</v>
      </c>
      <c r="C297" s="22" t="s">
        <v>1691</v>
      </c>
      <c r="D297" s="21" t="s">
        <v>1645</v>
      </c>
      <c r="F297" s="21" t="s">
        <v>1692</v>
      </c>
      <c r="G297" s="21" t="s">
        <v>1693</v>
      </c>
      <c r="K297" s="21" t="b">
        <v>1</v>
      </c>
    </row>
    <row r="298" spans="1:15" ht="96">
      <c r="A298" s="21">
        <v>302</v>
      </c>
      <c r="B298" s="21" t="s">
        <v>1694</v>
      </c>
      <c r="C298" s="22" t="s">
        <v>1695</v>
      </c>
      <c r="D298" s="21" t="s">
        <v>1645</v>
      </c>
      <c r="F298" s="21" t="s">
        <v>1696</v>
      </c>
      <c r="G298" s="21" t="s">
        <v>1697</v>
      </c>
      <c r="I298" s="21" t="s">
        <v>1648</v>
      </c>
      <c r="J298" s="21" t="s">
        <v>1698</v>
      </c>
      <c r="N298" s="21" t="s">
        <v>1699</v>
      </c>
      <c r="O298" s="21" t="s">
        <v>1700</v>
      </c>
    </row>
    <row r="299" spans="1:15" ht="96">
      <c r="A299" s="21">
        <v>303</v>
      </c>
      <c r="B299" s="21" t="s">
        <v>1701</v>
      </c>
      <c r="C299" s="22" t="s">
        <v>1702</v>
      </c>
      <c r="D299" s="21" t="s">
        <v>1645</v>
      </c>
      <c r="F299" s="21" t="s">
        <v>1703</v>
      </c>
      <c r="G299" s="21" t="s">
        <v>1704</v>
      </c>
      <c r="I299" s="21" t="s">
        <v>1648</v>
      </c>
      <c r="J299" s="21" t="s">
        <v>1705</v>
      </c>
      <c r="N299" s="21" t="s">
        <v>1706</v>
      </c>
      <c r="O299" s="21" t="s">
        <v>1707</v>
      </c>
    </row>
    <row r="300" spans="1:15" ht="72">
      <c r="A300" s="21">
        <v>304</v>
      </c>
      <c r="B300" s="21" t="s">
        <v>1708</v>
      </c>
      <c r="C300" s="22" t="s">
        <v>1709</v>
      </c>
      <c r="D300" s="21" t="s">
        <v>1645</v>
      </c>
      <c r="F300" s="21" t="s">
        <v>1710</v>
      </c>
      <c r="G300" s="21" t="s">
        <v>1711</v>
      </c>
      <c r="I300" s="21" t="s">
        <v>1648</v>
      </c>
      <c r="J300" s="21" t="s">
        <v>1712</v>
      </c>
      <c r="N300" s="21" t="s">
        <v>1713</v>
      </c>
      <c r="O300" s="21" t="s">
        <v>1714</v>
      </c>
    </row>
    <row r="301" spans="1:15" ht="214.5">
      <c r="A301" s="21">
        <v>305</v>
      </c>
      <c r="B301" s="21" t="s">
        <v>1715</v>
      </c>
      <c r="C301" s="22" t="s">
        <v>1716</v>
      </c>
      <c r="D301" s="21" t="s">
        <v>1645</v>
      </c>
      <c r="F301" s="21" t="s">
        <v>1717</v>
      </c>
      <c r="G301" s="21" t="s">
        <v>1718</v>
      </c>
      <c r="I301" s="21" t="s">
        <v>1648</v>
      </c>
      <c r="J301" s="21" t="s">
        <v>1719</v>
      </c>
    </row>
    <row r="302" spans="1:15" ht="48">
      <c r="A302" s="21">
        <v>306</v>
      </c>
      <c r="B302" s="21" t="s">
        <v>1720</v>
      </c>
      <c r="C302" s="22" t="s">
        <v>1721</v>
      </c>
      <c r="D302" s="21" t="s">
        <v>1645</v>
      </c>
      <c r="F302" s="21" t="s">
        <v>1722</v>
      </c>
      <c r="G302" s="21" t="s">
        <v>1723</v>
      </c>
      <c r="I302" s="21" t="s">
        <v>1648</v>
      </c>
      <c r="J302" s="21" t="s">
        <v>1724</v>
      </c>
      <c r="N302" s="21" t="s">
        <v>1725</v>
      </c>
      <c r="O302" s="21" t="s">
        <v>1726</v>
      </c>
    </row>
    <row r="303" spans="1:15" ht="48">
      <c r="A303" s="21">
        <v>307</v>
      </c>
      <c r="B303" s="21" t="s">
        <v>1727</v>
      </c>
      <c r="C303" s="22" t="s">
        <v>1728</v>
      </c>
      <c r="D303" s="21" t="s">
        <v>1645</v>
      </c>
      <c r="F303" s="21" t="s">
        <v>1729</v>
      </c>
      <c r="G303" s="21" t="s">
        <v>1730</v>
      </c>
      <c r="I303" s="21" t="s">
        <v>1648</v>
      </c>
      <c r="J303" s="21" t="s">
        <v>1731</v>
      </c>
      <c r="N303" s="21" t="s">
        <v>1732</v>
      </c>
      <c r="O303" s="21" t="s">
        <v>1733</v>
      </c>
    </row>
    <row r="304" spans="1:15" ht="393">
      <c r="A304" s="21">
        <v>308</v>
      </c>
      <c r="B304" s="21" t="s">
        <v>1734</v>
      </c>
      <c r="C304" s="22" t="s">
        <v>1735</v>
      </c>
      <c r="D304" s="21" t="s">
        <v>1645</v>
      </c>
      <c r="F304" s="21" t="s">
        <v>1736</v>
      </c>
      <c r="G304" s="21" t="s">
        <v>1737</v>
      </c>
      <c r="H304" s="21" t="s">
        <v>1738</v>
      </c>
      <c r="I304" s="21" t="s">
        <v>1648</v>
      </c>
      <c r="J304" s="21" t="s">
        <v>1739</v>
      </c>
      <c r="N304" s="21" t="s">
        <v>1740</v>
      </c>
      <c r="O304" s="21" t="s">
        <v>1741</v>
      </c>
    </row>
    <row r="305" spans="1:15" ht="36">
      <c r="A305" s="21">
        <v>309</v>
      </c>
      <c r="B305" s="21" t="s">
        <v>1742</v>
      </c>
      <c r="C305" s="22" t="s">
        <v>1743</v>
      </c>
      <c r="D305" s="21" t="s">
        <v>1645</v>
      </c>
      <c r="F305" s="21" t="s">
        <v>1744</v>
      </c>
      <c r="G305" s="21" t="s">
        <v>1745</v>
      </c>
      <c r="H305" s="21" t="s">
        <v>1746</v>
      </c>
      <c r="I305" s="21" t="s">
        <v>1747</v>
      </c>
      <c r="J305" s="21" t="s">
        <v>1748</v>
      </c>
      <c r="N305" s="21" t="s">
        <v>1749</v>
      </c>
      <c r="O305" s="21" t="s">
        <v>1750</v>
      </c>
    </row>
    <row r="306" spans="1:15" ht="72">
      <c r="A306" s="21">
        <v>310</v>
      </c>
      <c r="B306" s="21" t="s">
        <v>1751</v>
      </c>
      <c r="C306" s="22" t="s">
        <v>1752</v>
      </c>
      <c r="D306" s="21" t="s">
        <v>1645</v>
      </c>
      <c r="F306" s="21" t="s">
        <v>1753</v>
      </c>
      <c r="G306" s="21" t="s">
        <v>1754</v>
      </c>
      <c r="I306" s="21" t="s">
        <v>1747</v>
      </c>
      <c r="J306" s="21" t="s">
        <v>1755</v>
      </c>
      <c r="N306" s="21" t="s">
        <v>1756</v>
      </c>
      <c r="O306" s="21" t="s">
        <v>1757</v>
      </c>
    </row>
    <row r="307" spans="1:15" ht="24">
      <c r="A307" s="21">
        <v>311</v>
      </c>
      <c r="B307" s="21" t="s">
        <v>1758</v>
      </c>
      <c r="C307" s="22" t="s">
        <v>1759</v>
      </c>
      <c r="D307" s="21" t="s">
        <v>1760</v>
      </c>
      <c r="E307" s="21" t="s">
        <v>1761</v>
      </c>
      <c r="F307" s="21" t="s">
        <v>1762</v>
      </c>
      <c r="G307" s="21" t="s">
        <v>1763</v>
      </c>
      <c r="K307" s="21" t="b">
        <v>1</v>
      </c>
    </row>
    <row r="308" spans="1:15" ht="393">
      <c r="A308" s="21">
        <v>312</v>
      </c>
      <c r="B308" s="21" t="s">
        <v>1764</v>
      </c>
      <c r="C308" s="22" t="s">
        <v>1735</v>
      </c>
      <c r="D308" s="21" t="s">
        <v>1760</v>
      </c>
      <c r="E308" s="21" t="s">
        <v>1761</v>
      </c>
      <c r="F308" s="21" t="s">
        <v>1765</v>
      </c>
      <c r="G308" s="21" t="s">
        <v>1766</v>
      </c>
      <c r="I308" s="21" t="s">
        <v>1767</v>
      </c>
      <c r="J308" s="21" t="s">
        <v>1739</v>
      </c>
    </row>
    <row r="309" spans="1:15" ht="60">
      <c r="A309" s="21">
        <v>313</v>
      </c>
      <c r="B309" s="21" t="s">
        <v>1768</v>
      </c>
      <c r="C309" s="22" t="s">
        <v>405</v>
      </c>
      <c r="D309" s="21" t="s">
        <v>1760</v>
      </c>
      <c r="E309" s="21" t="s">
        <v>1761</v>
      </c>
      <c r="F309" s="21" t="s">
        <v>1769</v>
      </c>
      <c r="G309" s="21" t="s">
        <v>82</v>
      </c>
      <c r="I309" s="21" t="s">
        <v>1767</v>
      </c>
      <c r="J309" s="21" t="s">
        <v>407</v>
      </c>
    </row>
    <row r="310" spans="1:15" ht="60">
      <c r="A310" s="21">
        <v>314</v>
      </c>
      <c r="B310" s="21" t="s">
        <v>1770</v>
      </c>
      <c r="C310" s="22" t="s">
        <v>1771</v>
      </c>
      <c r="D310" s="21" t="s">
        <v>1760</v>
      </c>
      <c r="E310" s="21" t="s">
        <v>1761</v>
      </c>
      <c r="F310" s="21" t="s">
        <v>1772</v>
      </c>
      <c r="G310" s="21" t="s">
        <v>1773</v>
      </c>
      <c r="I310" s="21" t="s">
        <v>1774</v>
      </c>
      <c r="J310" s="21" t="s">
        <v>1775</v>
      </c>
      <c r="M310" s="21" t="s">
        <v>1776</v>
      </c>
      <c r="N310" s="21" t="s">
        <v>1777</v>
      </c>
      <c r="O310" s="21" t="s">
        <v>1778</v>
      </c>
    </row>
    <row r="311" spans="1:15" ht="72">
      <c r="A311" s="21">
        <v>315</v>
      </c>
      <c r="B311" s="21" t="s">
        <v>1779</v>
      </c>
      <c r="C311" s="22" t="s">
        <v>1780</v>
      </c>
      <c r="D311" s="21" t="s">
        <v>1760</v>
      </c>
      <c r="E311" s="21" t="s">
        <v>1761</v>
      </c>
      <c r="F311" s="21" t="s">
        <v>1781</v>
      </c>
      <c r="G311" s="21" t="s">
        <v>1782</v>
      </c>
      <c r="I311" s="21" t="s">
        <v>1783</v>
      </c>
      <c r="J311" s="21" t="s">
        <v>1784</v>
      </c>
      <c r="M311" s="21" t="s">
        <v>1785</v>
      </c>
      <c r="O311" s="21" t="s">
        <v>1786</v>
      </c>
    </row>
    <row r="312" spans="1:15" ht="36">
      <c r="A312" s="21">
        <v>316</v>
      </c>
      <c r="B312" s="21" t="s">
        <v>1787</v>
      </c>
      <c r="C312" s="22" t="s">
        <v>1788</v>
      </c>
      <c r="D312" s="21" t="s">
        <v>1760</v>
      </c>
      <c r="E312" s="21" t="s">
        <v>1761</v>
      </c>
      <c r="F312" s="21" t="s">
        <v>1789</v>
      </c>
      <c r="G312" s="21" t="s">
        <v>1790</v>
      </c>
      <c r="I312" s="21" t="s">
        <v>1791</v>
      </c>
      <c r="J312" s="21" t="s">
        <v>1792</v>
      </c>
      <c r="M312" s="21" t="s">
        <v>1793</v>
      </c>
      <c r="N312" s="21" t="s">
        <v>1794</v>
      </c>
      <c r="O312" s="21" t="s">
        <v>1795</v>
      </c>
    </row>
    <row r="313" spans="1:15" ht="24">
      <c r="A313" s="21">
        <v>317</v>
      </c>
      <c r="B313" s="21" t="s">
        <v>1796</v>
      </c>
      <c r="C313" s="22" t="s">
        <v>1797</v>
      </c>
      <c r="D313" s="21" t="s">
        <v>1760</v>
      </c>
      <c r="E313" s="21" t="s">
        <v>1761</v>
      </c>
      <c r="F313" s="21" t="s">
        <v>1798</v>
      </c>
      <c r="G313" s="21" t="s">
        <v>1799</v>
      </c>
      <c r="I313" s="21" t="s">
        <v>1783</v>
      </c>
      <c r="J313" s="21" t="s">
        <v>1800</v>
      </c>
      <c r="N313" s="21" t="s">
        <v>1801</v>
      </c>
      <c r="O313" s="21" t="s">
        <v>1802</v>
      </c>
    </row>
    <row r="314" spans="1:15" ht="24">
      <c r="A314" s="21">
        <v>318</v>
      </c>
      <c r="B314" s="21" t="s">
        <v>1803</v>
      </c>
      <c r="C314" s="22" t="s">
        <v>1804</v>
      </c>
      <c r="D314" s="21" t="s">
        <v>1760</v>
      </c>
      <c r="E314" s="21" t="s">
        <v>1761</v>
      </c>
      <c r="F314" s="21" t="s">
        <v>1805</v>
      </c>
      <c r="I314" s="21" t="s">
        <v>1783</v>
      </c>
      <c r="J314" s="21" t="s">
        <v>1806</v>
      </c>
    </row>
    <row r="315" spans="1:15" ht="24">
      <c r="A315" s="21">
        <v>319</v>
      </c>
      <c r="B315" s="21" t="s">
        <v>1690</v>
      </c>
      <c r="C315" s="22" t="s">
        <v>1807</v>
      </c>
      <c r="D315" s="21" t="s">
        <v>1760</v>
      </c>
      <c r="E315" s="21" t="s">
        <v>1761</v>
      </c>
      <c r="F315" s="21" t="s">
        <v>1808</v>
      </c>
      <c r="G315" s="21" t="s">
        <v>1693</v>
      </c>
      <c r="H315" s="21" t="s">
        <v>1809</v>
      </c>
      <c r="K315" s="21" t="b">
        <v>1</v>
      </c>
    </row>
    <row r="316" spans="1:15" ht="36">
      <c r="A316" s="21">
        <v>320</v>
      </c>
      <c r="B316" s="21" t="s">
        <v>1810</v>
      </c>
      <c r="C316" s="22" t="s">
        <v>1811</v>
      </c>
      <c r="D316" s="21" t="s">
        <v>1760</v>
      </c>
      <c r="E316" s="21" t="s">
        <v>1761</v>
      </c>
      <c r="F316" s="21" t="s">
        <v>1812</v>
      </c>
      <c r="G316" s="21" t="s">
        <v>990</v>
      </c>
      <c r="I316" s="21" t="s">
        <v>1783</v>
      </c>
      <c r="J316" s="21" t="s">
        <v>1813</v>
      </c>
      <c r="M316" s="21" t="s">
        <v>1814</v>
      </c>
    </row>
    <row r="317" spans="1:15" ht="48">
      <c r="A317" s="21">
        <v>321</v>
      </c>
      <c r="B317" s="21" t="s">
        <v>1815</v>
      </c>
      <c r="C317" s="22" t="s">
        <v>1816</v>
      </c>
      <c r="D317" s="21" t="s">
        <v>1760</v>
      </c>
      <c r="E317" s="21" t="s">
        <v>1761</v>
      </c>
      <c r="F317" s="21" t="s">
        <v>1817</v>
      </c>
      <c r="G317" s="21" t="s">
        <v>801</v>
      </c>
      <c r="I317" s="21" t="s">
        <v>1818</v>
      </c>
      <c r="J317" s="21" t="s">
        <v>1819</v>
      </c>
      <c r="M317" s="21" t="s">
        <v>1820</v>
      </c>
      <c r="N317" s="21" t="s">
        <v>1821</v>
      </c>
      <c r="O317" s="21" t="s">
        <v>1822</v>
      </c>
    </row>
    <row r="318" spans="1:15" ht="24">
      <c r="A318" s="21">
        <v>322</v>
      </c>
      <c r="B318" s="21" t="s">
        <v>1823</v>
      </c>
      <c r="C318" s="22" t="s">
        <v>1824</v>
      </c>
      <c r="D318" s="21" t="s">
        <v>1760</v>
      </c>
      <c r="E318" s="21" t="s">
        <v>1761</v>
      </c>
      <c r="F318" s="21" t="s">
        <v>1825</v>
      </c>
      <c r="G318" s="21" t="s">
        <v>1077</v>
      </c>
      <c r="I318" s="21" t="s">
        <v>1826</v>
      </c>
      <c r="J318" s="21" t="s">
        <v>1827</v>
      </c>
      <c r="M318" s="21" t="s">
        <v>1828</v>
      </c>
      <c r="O318" s="21" t="s">
        <v>1829</v>
      </c>
    </row>
    <row r="319" spans="1:15" ht="48">
      <c r="A319" s="21">
        <v>323</v>
      </c>
      <c r="B319" s="21" t="s">
        <v>1830</v>
      </c>
      <c r="C319" s="22" t="s">
        <v>1831</v>
      </c>
      <c r="D319" s="21" t="s">
        <v>1760</v>
      </c>
      <c r="E319" s="21" t="s">
        <v>1761</v>
      </c>
      <c r="F319" s="21" t="s">
        <v>1832</v>
      </c>
      <c r="G319" s="21" t="s">
        <v>1833</v>
      </c>
      <c r="I319" s="21" t="s">
        <v>1826</v>
      </c>
      <c r="J319" s="21" t="s">
        <v>1834</v>
      </c>
      <c r="M319" s="21" t="s">
        <v>1835</v>
      </c>
    </row>
    <row r="320" spans="1:15" ht="36">
      <c r="A320" s="21">
        <v>324</v>
      </c>
      <c r="B320" s="21" t="s">
        <v>1836</v>
      </c>
      <c r="C320" s="22" t="s">
        <v>1837</v>
      </c>
      <c r="D320" s="21" t="s">
        <v>1760</v>
      </c>
      <c r="E320" s="21" t="s">
        <v>1838</v>
      </c>
      <c r="F320" s="21" t="s">
        <v>1839</v>
      </c>
      <c r="G320" s="21" t="s">
        <v>123</v>
      </c>
      <c r="I320" s="21" t="s">
        <v>1840</v>
      </c>
      <c r="J320" s="21" t="s">
        <v>1841</v>
      </c>
      <c r="M320" s="21" t="s">
        <v>1842</v>
      </c>
      <c r="N320" s="21" t="s">
        <v>1843</v>
      </c>
      <c r="O320" s="21" t="s">
        <v>1844</v>
      </c>
    </row>
    <row r="321" spans="1:15" ht="72">
      <c r="A321" s="21">
        <v>325</v>
      </c>
      <c r="B321" s="21" t="s">
        <v>1845</v>
      </c>
      <c r="C321" s="22" t="s">
        <v>1846</v>
      </c>
      <c r="D321" s="21" t="s">
        <v>1760</v>
      </c>
      <c r="E321" s="21" t="s">
        <v>1838</v>
      </c>
      <c r="F321" s="21" t="s">
        <v>1847</v>
      </c>
      <c r="G321" s="21" t="s">
        <v>353</v>
      </c>
      <c r="I321" s="21" t="s">
        <v>1840</v>
      </c>
      <c r="J321" s="21" t="s">
        <v>1848</v>
      </c>
      <c r="M321" s="21" t="s">
        <v>1849</v>
      </c>
    </row>
    <row r="322" spans="1:15" ht="142.5">
      <c r="A322" s="21">
        <v>326</v>
      </c>
      <c r="B322" s="21" t="s">
        <v>1850</v>
      </c>
      <c r="C322" s="22" t="s">
        <v>1851</v>
      </c>
      <c r="D322" s="21" t="s">
        <v>1760</v>
      </c>
      <c r="E322" s="21" t="s">
        <v>1838</v>
      </c>
      <c r="F322" s="21" t="s">
        <v>1852</v>
      </c>
      <c r="G322" s="21" t="s">
        <v>1697</v>
      </c>
      <c r="I322" s="21" t="s">
        <v>1840</v>
      </c>
      <c r="J322" s="21" t="s">
        <v>1698</v>
      </c>
    </row>
    <row r="323" spans="1:15" ht="142.5">
      <c r="A323" s="21">
        <v>327</v>
      </c>
      <c r="B323" s="21" t="s">
        <v>1853</v>
      </c>
      <c r="C323" s="22" t="s">
        <v>1854</v>
      </c>
      <c r="D323" s="21" t="s">
        <v>1760</v>
      </c>
      <c r="E323" s="21" t="s">
        <v>1838</v>
      </c>
      <c r="F323" s="21" t="s">
        <v>1798</v>
      </c>
      <c r="G323" s="21" t="s">
        <v>1799</v>
      </c>
      <c r="I323" s="21" t="s">
        <v>1840</v>
      </c>
      <c r="J323" s="21" t="s">
        <v>1855</v>
      </c>
    </row>
    <row r="324" spans="1:15" ht="130.5">
      <c r="A324" s="21">
        <v>328</v>
      </c>
      <c r="B324" s="21" t="s">
        <v>1856</v>
      </c>
      <c r="C324" s="22" t="s">
        <v>1857</v>
      </c>
      <c r="D324" s="21" t="s">
        <v>1760</v>
      </c>
      <c r="E324" s="21" t="s">
        <v>1838</v>
      </c>
      <c r="F324" s="21" t="s">
        <v>1805</v>
      </c>
      <c r="I324" s="21" t="s">
        <v>1840</v>
      </c>
      <c r="J324" s="21" t="s">
        <v>1858</v>
      </c>
    </row>
    <row r="325" spans="1:15" ht="60">
      <c r="A325" s="21">
        <v>329</v>
      </c>
      <c r="B325" s="21" t="s">
        <v>1859</v>
      </c>
      <c r="C325" s="22" t="s">
        <v>1860</v>
      </c>
      <c r="D325" s="21" t="s">
        <v>1760</v>
      </c>
      <c r="E325" s="21" t="s">
        <v>1861</v>
      </c>
      <c r="F325" s="21" t="s">
        <v>1798</v>
      </c>
      <c r="G325" s="21" t="s">
        <v>1799</v>
      </c>
      <c r="I325" s="21" t="s">
        <v>1862</v>
      </c>
      <c r="J325" s="21" t="s">
        <v>1863</v>
      </c>
    </row>
    <row r="326" spans="1:15" ht="36">
      <c r="A326" s="21">
        <v>330</v>
      </c>
      <c r="B326" s="21" t="s">
        <v>1864</v>
      </c>
      <c r="C326" s="22" t="s">
        <v>1865</v>
      </c>
      <c r="D326" s="21" t="s">
        <v>1760</v>
      </c>
      <c r="E326" s="21" t="s">
        <v>1861</v>
      </c>
      <c r="F326" s="21" t="s">
        <v>1805</v>
      </c>
      <c r="I326" s="21" t="s">
        <v>1862</v>
      </c>
      <c r="J326" s="21" t="s">
        <v>1866</v>
      </c>
    </row>
    <row r="327" spans="1:15" ht="48">
      <c r="A327" s="21">
        <v>331</v>
      </c>
      <c r="B327" s="21" t="s">
        <v>1867</v>
      </c>
      <c r="C327" s="22" t="s">
        <v>1868</v>
      </c>
      <c r="D327" s="21" t="s">
        <v>1760</v>
      </c>
      <c r="E327" s="21" t="s">
        <v>1861</v>
      </c>
      <c r="F327" s="21" t="s">
        <v>1869</v>
      </c>
      <c r="G327" s="21" t="s">
        <v>176</v>
      </c>
      <c r="I327" s="21" t="s">
        <v>1862</v>
      </c>
      <c r="J327" s="21" t="s">
        <v>1870</v>
      </c>
      <c r="O327" s="21" t="s">
        <v>1871</v>
      </c>
    </row>
    <row r="328" spans="1:15" ht="309.75">
      <c r="A328" s="21">
        <v>332</v>
      </c>
      <c r="B328" s="21" t="s">
        <v>1872</v>
      </c>
      <c r="C328" s="22" t="s">
        <v>1873</v>
      </c>
      <c r="D328" s="21" t="s">
        <v>1760</v>
      </c>
      <c r="E328" s="21" t="s">
        <v>1861</v>
      </c>
      <c r="F328" s="21" t="s">
        <v>1874</v>
      </c>
      <c r="G328" s="21" t="s">
        <v>182</v>
      </c>
      <c r="I328" s="21" t="s">
        <v>1862</v>
      </c>
      <c r="J328" s="21" t="s">
        <v>1875</v>
      </c>
      <c r="O328" s="21" t="s">
        <v>1876</v>
      </c>
    </row>
    <row r="329" spans="1:15" ht="60">
      <c r="A329" s="21">
        <v>333</v>
      </c>
      <c r="B329" s="21" t="s">
        <v>1877</v>
      </c>
      <c r="C329" s="22" t="s">
        <v>1878</v>
      </c>
      <c r="D329" s="21" t="s">
        <v>1760</v>
      </c>
      <c r="E329" s="21" t="s">
        <v>1861</v>
      </c>
      <c r="F329" s="21" t="s">
        <v>1879</v>
      </c>
      <c r="G329" s="21" t="s">
        <v>283</v>
      </c>
      <c r="H329" s="21" t="s">
        <v>1880</v>
      </c>
      <c r="I329" s="21" t="s">
        <v>1862</v>
      </c>
      <c r="J329" s="21" t="s">
        <v>1881</v>
      </c>
      <c r="M329" s="21" t="s">
        <v>1882</v>
      </c>
      <c r="O329" s="21" t="s">
        <v>1883</v>
      </c>
    </row>
    <row r="330" spans="1:15" ht="36">
      <c r="A330" s="21">
        <v>334</v>
      </c>
      <c r="B330" s="21" t="s">
        <v>185</v>
      </c>
      <c r="C330" s="22" t="s">
        <v>1884</v>
      </c>
      <c r="D330" s="21" t="s">
        <v>1760</v>
      </c>
      <c r="E330" s="21" t="s">
        <v>1861</v>
      </c>
      <c r="F330" s="21" t="s">
        <v>1885</v>
      </c>
      <c r="G330" s="21" t="s">
        <v>1886</v>
      </c>
      <c r="I330" s="21" t="s">
        <v>189</v>
      </c>
      <c r="J330" s="21" t="s">
        <v>190</v>
      </c>
    </row>
    <row r="331" spans="1:15" ht="84">
      <c r="A331" s="21">
        <v>335</v>
      </c>
      <c r="B331" s="21" t="s">
        <v>1887</v>
      </c>
      <c r="C331" s="22" t="s">
        <v>1888</v>
      </c>
      <c r="D331" s="21" t="s">
        <v>1760</v>
      </c>
      <c r="E331" s="21" t="s">
        <v>1861</v>
      </c>
      <c r="F331" s="21" t="s">
        <v>1889</v>
      </c>
      <c r="G331" s="21" t="s">
        <v>1890</v>
      </c>
      <c r="I331" s="21" t="s">
        <v>1891</v>
      </c>
      <c r="J331" s="21" t="s">
        <v>1892</v>
      </c>
    </row>
    <row r="332" spans="1:15" ht="24">
      <c r="A332" s="21">
        <v>336</v>
      </c>
      <c r="B332" s="21" t="s">
        <v>1893</v>
      </c>
      <c r="C332" s="22" t="s">
        <v>1894</v>
      </c>
      <c r="D332" s="21" t="s">
        <v>1760</v>
      </c>
      <c r="E332" s="21" t="s">
        <v>1895</v>
      </c>
      <c r="F332" s="21" t="s">
        <v>1896</v>
      </c>
      <c r="G332" s="21" t="s">
        <v>1897</v>
      </c>
      <c r="I332" s="21" t="s">
        <v>1898</v>
      </c>
      <c r="J332" s="21" t="s">
        <v>1899</v>
      </c>
    </row>
    <row r="333" spans="1:15" ht="48">
      <c r="A333" s="21">
        <v>337</v>
      </c>
      <c r="B333" s="21" t="s">
        <v>1900</v>
      </c>
      <c r="C333" s="22" t="s">
        <v>1901</v>
      </c>
      <c r="D333" s="21" t="s">
        <v>1760</v>
      </c>
      <c r="E333" s="21" t="s">
        <v>1895</v>
      </c>
      <c r="F333" s="21" t="s">
        <v>1902</v>
      </c>
      <c r="G333" s="21" t="s">
        <v>1903</v>
      </c>
      <c r="I333" s="21" t="s">
        <v>1898</v>
      </c>
      <c r="J333" s="21" t="s">
        <v>1904</v>
      </c>
    </row>
    <row r="334" spans="1:15" ht="24">
      <c r="A334" s="21">
        <v>338</v>
      </c>
      <c r="B334" s="21" t="s">
        <v>1905</v>
      </c>
      <c r="C334" s="22" t="s">
        <v>1906</v>
      </c>
      <c r="D334" s="21" t="s">
        <v>1760</v>
      </c>
      <c r="E334" s="21" t="s">
        <v>1895</v>
      </c>
      <c r="F334" s="21" t="s">
        <v>1907</v>
      </c>
      <c r="G334" s="21" t="s">
        <v>1908</v>
      </c>
      <c r="I334" s="21" t="s">
        <v>1898</v>
      </c>
      <c r="J334" s="21" t="s">
        <v>1909</v>
      </c>
    </row>
    <row r="335" spans="1:15" ht="48">
      <c r="A335" s="21">
        <v>339</v>
      </c>
      <c r="B335" s="21" t="s">
        <v>1910</v>
      </c>
      <c r="C335" s="22" t="s">
        <v>1911</v>
      </c>
      <c r="D335" s="21" t="s">
        <v>1760</v>
      </c>
      <c r="E335" s="21" t="s">
        <v>1895</v>
      </c>
      <c r="F335" s="21" t="s">
        <v>1912</v>
      </c>
      <c r="G335" s="21" t="s">
        <v>1913</v>
      </c>
      <c r="I335" s="21" t="s">
        <v>1898</v>
      </c>
      <c r="J335" s="21" t="s">
        <v>1914</v>
      </c>
    </row>
    <row r="336" spans="1:15" ht="60">
      <c r="A336" s="21">
        <v>340</v>
      </c>
      <c r="B336" s="21" t="s">
        <v>1915</v>
      </c>
      <c r="C336" s="22" t="s">
        <v>1916</v>
      </c>
      <c r="D336" s="21" t="s">
        <v>1760</v>
      </c>
      <c r="E336" s="21" t="s">
        <v>1895</v>
      </c>
      <c r="F336" s="21" t="s">
        <v>1917</v>
      </c>
      <c r="G336" s="21" t="s">
        <v>1077</v>
      </c>
      <c r="I336" s="21" t="s">
        <v>1918</v>
      </c>
      <c r="J336" s="21" t="s">
        <v>1919</v>
      </c>
      <c r="M336" s="21" t="s">
        <v>1920</v>
      </c>
      <c r="O336" s="21" t="s">
        <v>1921</v>
      </c>
    </row>
    <row r="337" spans="1:15" ht="118.5">
      <c r="A337" s="21">
        <v>341</v>
      </c>
      <c r="B337" s="21" t="s">
        <v>1922</v>
      </c>
      <c r="C337" s="22" t="s">
        <v>1923</v>
      </c>
      <c r="D337" s="21" t="s">
        <v>1760</v>
      </c>
      <c r="E337" s="21" t="s">
        <v>1895</v>
      </c>
      <c r="F337" s="21" t="s">
        <v>1924</v>
      </c>
      <c r="G337" s="21" t="s">
        <v>76</v>
      </c>
      <c r="I337" s="21" t="s">
        <v>1918</v>
      </c>
      <c r="J337" s="21" t="s">
        <v>1925</v>
      </c>
      <c r="M337" s="21" t="s">
        <v>1926</v>
      </c>
      <c r="O337" s="21" t="s">
        <v>1921</v>
      </c>
    </row>
    <row r="338" spans="1:15" ht="202.5">
      <c r="A338" s="21">
        <v>342</v>
      </c>
      <c r="B338" s="21" t="s">
        <v>1927</v>
      </c>
      <c r="C338" s="22" t="s">
        <v>1928</v>
      </c>
      <c r="D338" s="21" t="s">
        <v>1760</v>
      </c>
      <c r="E338" s="21" t="s">
        <v>1895</v>
      </c>
      <c r="F338" s="21" t="s">
        <v>1929</v>
      </c>
      <c r="G338" s="21">
        <v>100</v>
      </c>
      <c r="I338" s="21" t="s">
        <v>1918</v>
      </c>
      <c r="J338" s="21" t="s">
        <v>1930</v>
      </c>
      <c r="O338" s="21" t="s">
        <v>1921</v>
      </c>
    </row>
    <row r="339" spans="1:15" ht="48">
      <c r="A339" s="21">
        <v>343</v>
      </c>
      <c r="B339" s="21" t="s">
        <v>1931</v>
      </c>
      <c r="C339" s="22" t="s">
        <v>1932</v>
      </c>
      <c r="D339" s="21" t="s">
        <v>1760</v>
      </c>
      <c r="E339" s="21" t="s">
        <v>1895</v>
      </c>
      <c r="F339" s="21" t="s">
        <v>1933</v>
      </c>
      <c r="G339" s="21" t="s">
        <v>1934</v>
      </c>
      <c r="I339" s="21" t="s">
        <v>1935</v>
      </c>
      <c r="J339" s="21" t="s">
        <v>1936</v>
      </c>
      <c r="O339" s="21" t="s">
        <v>1937</v>
      </c>
    </row>
    <row r="340" spans="1:15" ht="72">
      <c r="A340" s="21">
        <v>344</v>
      </c>
      <c r="B340" s="21" t="s">
        <v>1938</v>
      </c>
      <c r="C340" s="22" t="s">
        <v>1939</v>
      </c>
      <c r="D340" s="21" t="s">
        <v>1760</v>
      </c>
      <c r="E340" s="21" t="s">
        <v>1895</v>
      </c>
      <c r="F340" s="21" t="s">
        <v>1940</v>
      </c>
      <c r="G340" s="21" t="s">
        <v>1941</v>
      </c>
      <c r="I340" s="21" t="s">
        <v>1862</v>
      </c>
      <c r="J340" s="21" t="s">
        <v>1942</v>
      </c>
      <c r="M340" s="21" t="s">
        <v>1943</v>
      </c>
      <c r="O340" s="21" t="s">
        <v>1944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294"/>
  <sheetViews>
    <sheetView workbookViewId="0">
      <pane ySplit="1" topLeftCell="A2" activePane="bottomLeft" state="frozen"/>
      <selection pane="bottomLeft" activeCell="D13" sqref="D13"/>
    </sheetView>
  </sheetViews>
  <sheetFormatPr defaultColWidth="12.5703125" defaultRowHeight="15.75" customHeight="1"/>
  <cols>
    <col min="1" max="1" width="12" customWidth="1"/>
    <col min="2" max="2" width="15.28515625" customWidth="1"/>
    <col min="3" max="3" width="38" customWidth="1"/>
    <col min="4" max="4" width="35" customWidth="1"/>
    <col min="5" max="5" width="12.85546875" customWidth="1"/>
    <col min="6" max="6" width="14.85546875" customWidth="1"/>
    <col min="7" max="7" width="11.5703125" customWidth="1"/>
    <col min="8" max="8" width="13.140625" customWidth="1"/>
    <col min="9" max="9" width="50.28515625" customWidth="1"/>
    <col min="10" max="10" width="12" customWidth="1"/>
    <col min="11" max="11" width="25.42578125" customWidth="1"/>
    <col min="12" max="13" width="24.85546875" customWidth="1"/>
    <col min="14" max="14" width="134.140625" customWidth="1"/>
  </cols>
  <sheetData>
    <row r="1" spans="1:14" s="6" customFormat="1" ht="24">
      <c r="A1" s="4" t="s">
        <v>1945</v>
      </c>
      <c r="B1" s="4" t="s">
        <v>1946</v>
      </c>
      <c r="C1" s="4" t="s">
        <v>1947</v>
      </c>
      <c r="D1" s="4" t="s">
        <v>42</v>
      </c>
      <c r="E1" s="4" t="s">
        <v>1948</v>
      </c>
      <c r="F1" s="4" t="s">
        <v>1949</v>
      </c>
      <c r="G1" s="4" t="s">
        <v>1950</v>
      </c>
      <c r="H1" s="4" t="s">
        <v>1951</v>
      </c>
      <c r="I1" s="4" t="s">
        <v>1952</v>
      </c>
      <c r="J1" s="4" t="s">
        <v>1953</v>
      </c>
      <c r="K1" s="4" t="s">
        <v>1954</v>
      </c>
      <c r="L1" s="5" t="s">
        <v>1955</v>
      </c>
      <c r="M1" s="5" t="s">
        <v>1956</v>
      </c>
      <c r="N1" s="4" t="s">
        <v>1957</v>
      </c>
    </row>
    <row r="2" spans="1:14" ht="24">
      <c r="A2" s="7" t="s">
        <v>1958</v>
      </c>
      <c r="B2" s="8">
        <v>1</v>
      </c>
      <c r="C2" s="7" t="s">
        <v>1959</v>
      </c>
      <c r="D2" s="7" t="s">
        <v>1960</v>
      </c>
      <c r="E2" s="8">
        <v>1</v>
      </c>
      <c r="F2" s="8">
        <v>13</v>
      </c>
      <c r="G2" s="8">
        <v>13</v>
      </c>
      <c r="H2" s="7" t="s">
        <v>1961</v>
      </c>
      <c r="I2" s="9" t="s">
        <v>1962</v>
      </c>
      <c r="J2" s="7">
        <v>1</v>
      </c>
      <c r="K2" s="7" t="str">
        <f t="shared" ref="K2:K256" si="0">A2&amp;"."&amp;C2</f>
        <v>CCLF0.File Number Label</v>
      </c>
      <c r="L2" s="7" t="e">
        <f>_xlfn.XLOOKUP("*'"&amp;K2&amp;"'*",Data_Dictionary[cclfMapping],Data_Dictionary[Field Name],,2)</f>
        <v>#N/A</v>
      </c>
      <c r="M2" s="7" t="e">
        <f>_xlfn.XLOOKUP("*'"&amp;K2&amp;"'*",Data_Dictionary[cclfMapping],Data_Dictionary[Field Name],,2)</f>
        <v>#N/A</v>
      </c>
      <c r="N2" s="7" t="e">
        <f>_xlfn.XLOOKUP("*'"&amp;K2&amp;"'*",Data_Dictionary[cclfMapping],Data_Dictionary[fhirPath],,2)</f>
        <v>#N/A</v>
      </c>
    </row>
    <row r="3" spans="1:14" ht="12.75">
      <c r="A3" s="7" t="s">
        <v>1958</v>
      </c>
      <c r="B3" s="8">
        <v>2</v>
      </c>
      <c r="C3" s="7" t="s">
        <v>1963</v>
      </c>
      <c r="D3" s="7" t="s">
        <v>1963</v>
      </c>
      <c r="E3" s="8">
        <v>14</v>
      </c>
      <c r="F3" s="8">
        <v>14</v>
      </c>
      <c r="G3" s="8">
        <v>1</v>
      </c>
      <c r="H3" s="7" t="s">
        <v>1964</v>
      </c>
      <c r="I3" s="7" t="s">
        <v>1965</v>
      </c>
      <c r="J3" s="7">
        <v>2</v>
      </c>
      <c r="K3" s="7" t="str">
        <f t="shared" si="0"/>
        <v>CCLF0.Delimiter</v>
      </c>
      <c r="L3" s="7" t="e">
        <f>_xlfn.XLOOKUP("*'"&amp;K3&amp;"'*",Data_Dictionary[cclfMapping],Data_Dictionary[Field Name],,2)</f>
        <v>#N/A</v>
      </c>
      <c r="M3" s="7" t="e">
        <f>_xlfn.XLOOKUP("*'"&amp;K3&amp;"'*",Data_Dictionary[cclfMapping],Data_Dictionary[Field Name],,2)</f>
        <v>#N/A</v>
      </c>
      <c r="N3" s="7" t="e">
        <f>_xlfn.XLOOKUP("*'"&amp;K3&amp;"'*",Data_Dictionary[cclfMapping],Data_Dictionary[fhirPath],,2)</f>
        <v>#N/A</v>
      </c>
    </row>
    <row r="4" spans="1:14" ht="24">
      <c r="A4" s="7" t="s">
        <v>1958</v>
      </c>
      <c r="B4" s="8">
        <v>3</v>
      </c>
      <c r="C4" s="7" t="s">
        <v>1966</v>
      </c>
      <c r="D4" s="7" t="s">
        <v>1960</v>
      </c>
      <c r="E4" s="8">
        <v>15</v>
      </c>
      <c r="F4" s="8">
        <v>34</v>
      </c>
      <c r="G4" s="8">
        <v>20</v>
      </c>
      <c r="H4" s="7" t="s">
        <v>1967</v>
      </c>
      <c r="I4" s="9" t="s">
        <v>1968</v>
      </c>
      <c r="J4" s="7">
        <v>3</v>
      </c>
      <c r="K4" s="7" t="str">
        <f t="shared" si="0"/>
        <v>CCLF0.File Description Label</v>
      </c>
      <c r="L4" s="7" t="e">
        <f>_xlfn.XLOOKUP("*'"&amp;K4&amp;"'*",Data_Dictionary[cclfMapping],Data_Dictionary[Field Name],,2)</f>
        <v>#N/A</v>
      </c>
      <c r="M4" s="7" t="e">
        <f>_xlfn.XLOOKUP("*'"&amp;K4&amp;"'*",Data_Dictionary[cclfMapping],Data_Dictionary[Field Name],,2)</f>
        <v>#N/A</v>
      </c>
      <c r="N4" s="7" t="e">
        <f>_xlfn.XLOOKUP("*'"&amp;K4&amp;"'*",Data_Dictionary[cclfMapping],Data_Dictionary[fhirPath],,2)</f>
        <v>#N/A</v>
      </c>
    </row>
    <row r="5" spans="1:14" ht="12.75">
      <c r="A5" s="7" t="s">
        <v>1958</v>
      </c>
      <c r="B5" s="8">
        <v>4</v>
      </c>
      <c r="C5" s="7" t="s">
        <v>1963</v>
      </c>
      <c r="D5" s="7" t="s">
        <v>1963</v>
      </c>
      <c r="E5" s="8">
        <v>35</v>
      </c>
      <c r="F5" s="8">
        <v>35</v>
      </c>
      <c r="G5" s="8">
        <v>1</v>
      </c>
      <c r="H5" s="7" t="s">
        <v>1964</v>
      </c>
      <c r="I5" s="7" t="s">
        <v>1965</v>
      </c>
      <c r="J5" s="7">
        <v>4</v>
      </c>
      <c r="K5" s="7" t="str">
        <f t="shared" si="0"/>
        <v>CCLF0.Delimiter</v>
      </c>
      <c r="L5" s="7" t="e">
        <f>_xlfn.XLOOKUP("*'"&amp;K5&amp;"'*",Data_Dictionary[cclfMapping],Data_Dictionary[Field Name],,2)</f>
        <v>#N/A</v>
      </c>
      <c r="M5" s="7" t="e">
        <f>_xlfn.XLOOKUP("*'"&amp;K5&amp;"'*",Data_Dictionary[cclfMapping],Data_Dictionary[Field Name],,2)</f>
        <v>#N/A</v>
      </c>
      <c r="N5" s="7" t="e">
        <f>_xlfn.XLOOKUP("*'"&amp;K5&amp;"'*",Data_Dictionary[cclfMapping],Data_Dictionary[fhirPath],,2)</f>
        <v>#N/A</v>
      </c>
    </row>
    <row r="6" spans="1:14" ht="24">
      <c r="A6" s="7" t="s">
        <v>1958</v>
      </c>
      <c r="B6" s="8">
        <v>5</v>
      </c>
      <c r="C6" s="7" t="s">
        <v>1969</v>
      </c>
      <c r="D6" s="7" t="s">
        <v>1960</v>
      </c>
      <c r="E6" s="8">
        <v>36</v>
      </c>
      <c r="F6" s="8">
        <v>55</v>
      </c>
      <c r="G6" s="8">
        <v>20</v>
      </c>
      <c r="H6" s="7" t="s">
        <v>1967</v>
      </c>
      <c r="I6" s="9" t="s">
        <v>1970</v>
      </c>
      <c r="J6" s="7">
        <v>5</v>
      </c>
      <c r="K6" s="7" t="str">
        <f t="shared" si="0"/>
        <v>CCLF0.Total Records Count Label</v>
      </c>
      <c r="L6" s="7" t="e">
        <f>_xlfn.XLOOKUP("*'"&amp;K6&amp;"'*",Data_Dictionary[cclfMapping],Data_Dictionary[Field Name],,2)</f>
        <v>#N/A</v>
      </c>
      <c r="M6" s="7" t="e">
        <f>_xlfn.XLOOKUP("*'"&amp;K6&amp;"'*",Data_Dictionary[cclfMapping],Data_Dictionary[Field Name],,2)</f>
        <v>#N/A</v>
      </c>
      <c r="N6" s="7" t="e">
        <f>_xlfn.XLOOKUP("*'"&amp;K6&amp;"'*",Data_Dictionary[cclfMapping],Data_Dictionary[fhirPath],,2)</f>
        <v>#N/A</v>
      </c>
    </row>
    <row r="7" spans="1:14" ht="12.75">
      <c r="A7" s="7" t="s">
        <v>1958</v>
      </c>
      <c r="B7" s="8">
        <v>6</v>
      </c>
      <c r="C7" s="7" t="s">
        <v>1963</v>
      </c>
      <c r="D7" s="7" t="s">
        <v>1963</v>
      </c>
      <c r="E7" s="8">
        <v>56</v>
      </c>
      <c r="F7" s="8">
        <v>56</v>
      </c>
      <c r="G7" s="8">
        <v>1</v>
      </c>
      <c r="H7" s="7" t="s">
        <v>1964</v>
      </c>
      <c r="I7" s="7" t="s">
        <v>1965</v>
      </c>
      <c r="J7" s="7">
        <v>6</v>
      </c>
      <c r="K7" s="7" t="str">
        <f t="shared" si="0"/>
        <v>CCLF0.Delimiter</v>
      </c>
      <c r="L7" s="7" t="e">
        <f>_xlfn.XLOOKUP("*'"&amp;K7&amp;"'*",Data_Dictionary[cclfMapping],Data_Dictionary[Field Name],,2)</f>
        <v>#N/A</v>
      </c>
      <c r="M7" s="7" t="e">
        <f>_xlfn.XLOOKUP("*'"&amp;K7&amp;"'*",Data_Dictionary[cclfMapping],Data_Dictionary[Field Name],,2)</f>
        <v>#N/A</v>
      </c>
      <c r="N7" s="7" t="e">
        <f>_xlfn.XLOOKUP("*'"&amp;K7&amp;"'*",Data_Dictionary[cclfMapping],Data_Dictionary[fhirPath],,2)</f>
        <v>#N/A</v>
      </c>
    </row>
    <row r="8" spans="1:14" ht="24">
      <c r="A8" s="7" t="s">
        <v>1958</v>
      </c>
      <c r="B8" s="8">
        <v>7</v>
      </c>
      <c r="C8" s="7" t="s">
        <v>1971</v>
      </c>
      <c r="D8" s="7" t="s">
        <v>1960</v>
      </c>
      <c r="E8" s="8">
        <v>57</v>
      </c>
      <c r="F8" s="8">
        <v>69</v>
      </c>
      <c r="G8" s="8">
        <v>13</v>
      </c>
      <c r="H8" s="7" t="s">
        <v>1961</v>
      </c>
      <c r="I8" s="9" t="s">
        <v>1972</v>
      </c>
      <c r="J8" s="7">
        <v>7</v>
      </c>
      <c r="K8" s="7" t="str">
        <f t="shared" si="0"/>
        <v>CCLF0.Record Length Label</v>
      </c>
      <c r="L8" s="7" t="e">
        <f>_xlfn.XLOOKUP("*'"&amp;K8&amp;"'*",Data_Dictionary[cclfMapping],Data_Dictionary[Field Name],,2)</f>
        <v>#N/A</v>
      </c>
      <c r="M8" s="7" t="e">
        <f>_xlfn.XLOOKUP("*'"&amp;K8&amp;"'*",Data_Dictionary[cclfMapping],Data_Dictionary[Field Name],,2)</f>
        <v>#N/A</v>
      </c>
      <c r="N8" s="7" t="e">
        <f>_xlfn.XLOOKUP("*'"&amp;K8&amp;"'*",Data_Dictionary[cclfMapping],Data_Dictionary[fhirPath],,2)</f>
        <v>#N/A</v>
      </c>
    </row>
    <row r="9" spans="1:14" ht="36">
      <c r="A9" s="10" t="s">
        <v>1973</v>
      </c>
      <c r="B9" s="8">
        <v>1</v>
      </c>
      <c r="C9" s="7" t="s">
        <v>1974</v>
      </c>
      <c r="D9" s="7" t="s">
        <v>1975</v>
      </c>
      <c r="E9" s="8">
        <v>1</v>
      </c>
      <c r="F9" s="8">
        <v>13</v>
      </c>
      <c r="G9" s="8">
        <v>13</v>
      </c>
      <c r="H9" s="7" t="s">
        <v>1976</v>
      </c>
      <c r="I9" s="9" t="s">
        <v>1977</v>
      </c>
      <c r="J9" s="7">
        <v>8</v>
      </c>
      <c r="K9" s="7" t="str">
        <f t="shared" si="0"/>
        <v>CCLF1.CUR_CLM_UNIQ_ID</v>
      </c>
      <c r="L9" s="7" t="str">
        <f>_xlfn.XLOOKUP("*'"&amp;K9&amp;"'*",Data_Dictionary[cclfMapping],Data_Dictionary[Field Name],,2)</f>
        <v>The claim unique ID is a unique ID for the claim within the source system.</v>
      </c>
      <c r="M9" s="7" t="str">
        <f>_xlfn.XLOOKUP("*'"&amp;K9&amp;"'*",Data_Dictionary[cclfMapping],Data_Dictionary[Field Name],,2)</f>
        <v>The claim unique ID is a unique ID for the claim within the source system.</v>
      </c>
      <c r="N9" s="7" t="str">
        <f>_xlfn.XLOOKUP("*'"&amp;K9&amp;"'*",Data_Dictionary[cclfMapping],Data_Dictionary[fhirPath],,2)</f>
        <v>ExplanationOfBenefit.identifier.where(type.coding.system = 'http://hl7.org/fhir/us/carin-bb/CodeSystem/C4BBIdentifierType' and type.coding.code = 'uc' ).value</v>
      </c>
    </row>
    <row r="10" spans="1:14" ht="48">
      <c r="A10" s="10" t="s">
        <v>1973</v>
      </c>
      <c r="B10" s="8">
        <v>2</v>
      </c>
      <c r="C10" s="7" t="s">
        <v>1978</v>
      </c>
      <c r="D10" s="9" t="s">
        <v>1979</v>
      </c>
      <c r="E10" s="8">
        <v>14</v>
      </c>
      <c r="F10" s="8">
        <v>19</v>
      </c>
      <c r="G10" s="8">
        <v>6</v>
      </c>
      <c r="H10" s="7" t="s">
        <v>1980</v>
      </c>
      <c r="I10" s="9" t="s">
        <v>1981</v>
      </c>
      <c r="J10" s="7">
        <v>9</v>
      </c>
      <c r="K10" s="7" t="str">
        <f t="shared" si="0"/>
        <v>CCLF1.PRVDR_OSCAR_NUM</v>
      </c>
      <c r="L10" s="7" t="str">
        <f>_xlfn.XLOOKUP("*'"&amp;K10&amp;"'*",Data_Dictionary[cclfMapping],Data_Dictionary[Field Name],,2)</f>
        <v>Provider Number (OSCAR/CCN)</v>
      </c>
      <c r="M10" s="7" t="str">
        <f>_xlfn.XLOOKUP("*'"&amp;K10&amp;"'*",Data_Dictionary[cclfMapping],Data_Dictionary[Field Name],,2)</f>
        <v>Provider Number (OSCAR/CCN)</v>
      </c>
      <c r="N10" s="7" t="str">
        <f>_xlfn.XLOOKUP("*'"&amp;K10&amp;"'*",Data_Dictionary[cclfMapping],Data_Dictionary[fhirPath],,2)</f>
        <v>ExplanationOfBenefit.contained.where(id = %root.provider.reference.substring(1)).identifier.where(system='http://terminology.hl7.org/NamingSystem/CCN').value</v>
      </c>
    </row>
    <row r="11" spans="1:14" ht="24">
      <c r="A11" s="10" t="s">
        <v>1973</v>
      </c>
      <c r="B11" s="8">
        <v>3</v>
      </c>
      <c r="C11" s="7" t="s">
        <v>1739</v>
      </c>
      <c r="D11" s="7" t="s">
        <v>1734</v>
      </c>
      <c r="E11" s="8">
        <v>20</v>
      </c>
      <c r="F11" s="8">
        <v>30</v>
      </c>
      <c r="G11" s="8">
        <v>11</v>
      </c>
      <c r="H11" s="7" t="s">
        <v>1982</v>
      </c>
      <c r="I11" s="9" t="s">
        <v>1983</v>
      </c>
      <c r="J11" s="7">
        <v>10</v>
      </c>
      <c r="K11" s="7" t="str">
        <f t="shared" si="0"/>
        <v>CCLF1.BENE_MBI_ID</v>
      </c>
      <c r="L11" s="7" t="str">
        <f>_xlfn.XLOOKUP("*'"&amp;K11&amp;"'*",Data_Dictionary[cclfMapping],Data_Dictionary[Field Name],,2)</f>
        <v>Medicare Beneficiary Identifier</v>
      </c>
      <c r="M11" s="7" t="str">
        <f>_xlfn.XLOOKUP("*'"&amp;K11&amp;"'*",Data_Dictionary[cclfMapping],Data_Dictionary[Field Name],,2)</f>
        <v>Medicare Beneficiary Identifier</v>
      </c>
      <c r="N11" s="7" t="str">
        <f>_xlfn.XLOOKUP("*'"&amp;K11&amp;"'*",Data_Dictionary[cclfMapping],Data_Dictionary[fhirPath],,2)</f>
        <v>Patient.identifier.where(system='http://hl7.org/fhir/sid/us-mbi').value</v>
      </c>
    </row>
    <row r="12" spans="1:14" ht="84">
      <c r="A12" s="10" t="s">
        <v>1973</v>
      </c>
      <c r="B12" s="8">
        <v>4</v>
      </c>
      <c r="C12" s="7" t="s">
        <v>1984</v>
      </c>
      <c r="D12" s="7" t="s">
        <v>1985</v>
      </c>
      <c r="E12" s="8">
        <v>31</v>
      </c>
      <c r="F12" s="8">
        <v>41</v>
      </c>
      <c r="G12" s="8">
        <v>11</v>
      </c>
      <c r="H12" s="7" t="s">
        <v>1982</v>
      </c>
      <c r="I12" s="9" t="s">
        <v>1986</v>
      </c>
      <c r="J12" s="7">
        <v>11</v>
      </c>
      <c r="K12" s="7" t="str">
        <f t="shared" si="0"/>
        <v>CCLF1.BENE_HIC_NUM</v>
      </c>
      <c r="L12" s="7" t="e">
        <f>_xlfn.XLOOKUP("*'"&amp;K12&amp;"'*",Data_Dictionary[cclfMapping],Data_Dictionary[Field Name],,2)</f>
        <v>#N/A</v>
      </c>
      <c r="M12" s="7" t="e">
        <f>_xlfn.XLOOKUP("*'"&amp;K12&amp;"'*",Data_Dictionary[cclfMapping],Data_Dictionary[Field Name],,2)</f>
        <v>#N/A</v>
      </c>
      <c r="N12" s="7" t="e">
        <f>_xlfn.XLOOKUP("*'"&amp;K12&amp;"'*",Data_Dictionary[cclfMapping],Data_Dictionary[fhirPath],,2)</f>
        <v>#N/A</v>
      </c>
    </row>
    <row r="13" spans="1:14" ht="118.5">
      <c r="A13" s="10" t="s">
        <v>1973</v>
      </c>
      <c r="B13" s="8">
        <v>5</v>
      </c>
      <c r="C13" s="7" t="s">
        <v>77</v>
      </c>
      <c r="D13" s="7" t="s">
        <v>73</v>
      </c>
      <c r="E13" s="8">
        <v>42</v>
      </c>
      <c r="F13" s="8">
        <v>43</v>
      </c>
      <c r="G13" s="8">
        <v>2</v>
      </c>
      <c r="H13" s="7" t="s">
        <v>1987</v>
      </c>
      <c r="I13" s="9" t="s">
        <v>1988</v>
      </c>
      <c r="J13" s="7">
        <v>12</v>
      </c>
      <c r="K13" s="7" t="str">
        <f t="shared" si="0"/>
        <v>CCLF1.CLM_TYPE_CD</v>
      </c>
      <c r="L13" s="7" t="str">
        <f>_xlfn.XLOOKUP("*'"&amp;K13&amp;"'*",Data_Dictionary[cclfMapping],Data_Dictionary[Field Name],,2)</f>
        <v>Claim Type Code</v>
      </c>
      <c r="M13" s="7" t="str">
        <f>_xlfn.XLOOKUP("*'"&amp;K13&amp;"'*",Data_Dictionary[cclfMapping],Data_Dictionary[Field Name],,2)</f>
        <v>Claim Type Code</v>
      </c>
      <c r="N13" s="7" t="str">
        <f>_xlfn.XLOOKUP("*'"&amp;K13&amp;"'*",Data_Dictionary[cclfMapping],Data_Dictionary[fhirPath],,2)</f>
        <v>ExplanationOfBenefit.type.coding.where(system = 'https://bluebutton.cms.gov/fhir/CodeSystem/CLM-TYPE-CD').code</v>
      </c>
    </row>
    <row r="14" spans="1:14" ht="36">
      <c r="A14" s="10" t="s">
        <v>1973</v>
      </c>
      <c r="B14" s="8">
        <v>6</v>
      </c>
      <c r="C14" s="7" t="s">
        <v>87</v>
      </c>
      <c r="D14" s="7" t="s">
        <v>83</v>
      </c>
      <c r="E14" s="8">
        <v>44</v>
      </c>
      <c r="F14" s="8">
        <v>53</v>
      </c>
      <c r="G14" s="8">
        <v>10</v>
      </c>
      <c r="H14" s="7" t="s">
        <v>1989</v>
      </c>
      <c r="I14" s="9" t="s">
        <v>1990</v>
      </c>
      <c r="J14" s="7">
        <v>13</v>
      </c>
      <c r="K14" s="7" t="str">
        <f t="shared" si="0"/>
        <v>CCLF1.CLM_FROM_DT</v>
      </c>
      <c r="L14" s="7" t="str">
        <f>_xlfn.XLOOKUP("*'"&amp;K14&amp;"'*",Data_Dictionary[cclfMapping],Data_Dictionary[Field Name],,2)</f>
        <v>Claim From Date</v>
      </c>
      <c r="M14" s="7" t="str">
        <f>_xlfn.XLOOKUP("*'"&amp;K14&amp;"'*",Data_Dictionary[cclfMapping],Data_Dictionary[Field Name],,2)</f>
        <v>Claim From Date</v>
      </c>
      <c r="N14" s="7" t="str">
        <f>_xlfn.XLOOKUP("*'"&amp;K14&amp;"'*",Data_Dictionary[cclfMapping],Data_Dictionary[fhirPath],,2)</f>
        <v>ExplanationOfBenefit.billablePeriod.start</v>
      </c>
    </row>
    <row r="15" spans="1:14" ht="36">
      <c r="A15" s="10" t="s">
        <v>1973</v>
      </c>
      <c r="B15" s="8">
        <v>7</v>
      </c>
      <c r="C15" s="7" t="s">
        <v>91</v>
      </c>
      <c r="D15" s="7" t="s">
        <v>88</v>
      </c>
      <c r="E15" s="8">
        <v>54</v>
      </c>
      <c r="F15" s="8">
        <v>63</v>
      </c>
      <c r="G15" s="8">
        <v>10</v>
      </c>
      <c r="H15" s="7" t="s">
        <v>1989</v>
      </c>
      <c r="I15" s="9" t="s">
        <v>1991</v>
      </c>
      <c r="J15" s="7">
        <v>14</v>
      </c>
      <c r="K15" s="7" t="str">
        <f t="shared" si="0"/>
        <v>CCLF1.CLM_THRU_DT</v>
      </c>
      <c r="L15" s="7" t="str">
        <f>_xlfn.XLOOKUP("*'"&amp;K15&amp;"'*",Data_Dictionary[cclfMapping],Data_Dictionary[Field Name],,2)</f>
        <v>Claim Thru Date</v>
      </c>
      <c r="M15" s="7" t="str">
        <f>_xlfn.XLOOKUP("*'"&amp;K15&amp;"'*",Data_Dictionary[cclfMapping],Data_Dictionary[Field Name],,2)</f>
        <v>Claim Thru Date</v>
      </c>
      <c r="N15" s="7" t="str">
        <f>_xlfn.XLOOKUP("*'"&amp;K15&amp;"'*",Data_Dictionary[cclfMapping],Data_Dictionary[fhirPath],,2)</f>
        <v>ExplanationOfBenefit.billablePeriod.end</v>
      </c>
    </row>
    <row r="16" spans="1:14" ht="166.5">
      <c r="A16" s="10" t="s">
        <v>1973</v>
      </c>
      <c r="B16" s="8">
        <v>8</v>
      </c>
      <c r="C16" s="7" t="s">
        <v>814</v>
      </c>
      <c r="D16" s="7" t="s">
        <v>1992</v>
      </c>
      <c r="E16" s="8">
        <v>64</v>
      </c>
      <c r="F16" s="8">
        <v>64</v>
      </c>
      <c r="G16" s="8">
        <v>1</v>
      </c>
      <c r="H16" s="7" t="s">
        <v>1993</v>
      </c>
      <c r="I16" s="9" t="s">
        <v>1994</v>
      </c>
      <c r="J16" s="7">
        <v>15</v>
      </c>
      <c r="K16" s="7" t="str">
        <f t="shared" si="0"/>
        <v>CCLF1.CLM_BILL_FAC_TYPE_CD</v>
      </c>
      <c r="L16" s="7" t="str">
        <f>_xlfn.XLOOKUP("*'"&amp;K16&amp;"'*",Data_Dictionary[cclfMapping],Data_Dictionary[Field Name],,2)</f>
        <v>Bill Facility Type Code</v>
      </c>
      <c r="M16" s="7" t="str">
        <f>_xlfn.XLOOKUP("*'"&amp;K16&amp;"'*",Data_Dictionary[cclfMapping],Data_Dictionary[Field Name],,2)</f>
        <v>Bill Facility Type Code</v>
      </c>
      <c r="N16" s="7" t="str">
        <f>_xlfn.XLOOKUP("*'"&amp;K16&amp;"'*",Data_Dictionary[cclfMapping],Data_Dictionary[fhirPath],,2)</f>
        <v>ExplanationOfBenefit.supportingInfo.where(category.coding.system='http://hl7.org/fhir/us/carin-bb/CodeSystem/C4BBSupportingInfoType' and category.coding.code='typeofbill').code.coding.where(system='https://bluebutton.cms.gov/fhir/CodeSystem/CLM-BILL-FAC-TYPE-CD').code</v>
      </c>
    </row>
    <row r="17" spans="1:14" ht="60">
      <c r="A17" s="10" t="s">
        <v>1973</v>
      </c>
      <c r="B17" s="8">
        <v>9</v>
      </c>
      <c r="C17" s="7" t="s">
        <v>823</v>
      </c>
      <c r="D17" s="7" t="s">
        <v>1995</v>
      </c>
      <c r="E17" s="8">
        <v>65</v>
      </c>
      <c r="F17" s="8">
        <v>65</v>
      </c>
      <c r="G17" s="8">
        <v>1</v>
      </c>
      <c r="H17" s="7" t="s">
        <v>1993</v>
      </c>
      <c r="I17" s="11" t="s">
        <v>1996</v>
      </c>
      <c r="J17" s="7">
        <v>16</v>
      </c>
      <c r="K17" s="7" t="str">
        <f t="shared" si="0"/>
        <v>CCLF1.CLM_BILL_CLSFCTN_CD</v>
      </c>
      <c r="L17" s="7" t="str">
        <f>_xlfn.XLOOKUP("*'"&amp;K17&amp;"'*",Data_Dictionary[cclfMapping],Data_Dictionary[Field Name],,2)</f>
        <v>Claim Bill Classification Code</v>
      </c>
      <c r="M17" s="7" t="str">
        <f>_xlfn.XLOOKUP("*'"&amp;K17&amp;"'*",Data_Dictionary[cclfMapping],Data_Dictionary[Field Name],,2)</f>
        <v>Claim Bill Classification Code</v>
      </c>
      <c r="N17" s="7" t="str">
        <f>_xlfn.XLOOKUP("*'"&amp;K17&amp;"'*",Data_Dictionary[cclfMapping],Data_Dictionary[fhirPath],,2)</f>
        <v>ExplanationOfBenefit.supportingInfo.where(category.coding.system='http://hl7.org/fhir/us/carin-bb/CodeSystem/C4BBSupportingInfoType' and category.coding.code='typeofbill').code.coding.where(system='https://bluebutton.cms.gov/fhir/CodeSystem/CLM-BILL-CLSFCTN-CD').code</v>
      </c>
    </row>
    <row r="18" spans="1:14" ht="24">
      <c r="A18" s="10" t="s">
        <v>1973</v>
      </c>
      <c r="B18" s="8">
        <v>10</v>
      </c>
      <c r="C18" s="7" t="s">
        <v>1997</v>
      </c>
      <c r="D18" s="7" t="s">
        <v>1998</v>
      </c>
      <c r="E18" s="8">
        <v>66</v>
      </c>
      <c r="F18" s="8">
        <v>72</v>
      </c>
      <c r="G18" s="8">
        <v>7</v>
      </c>
      <c r="H18" s="7" t="s">
        <v>1999</v>
      </c>
      <c r="I18" s="9" t="s">
        <v>2000</v>
      </c>
      <c r="J18" s="7">
        <v>17</v>
      </c>
      <c r="K18" s="7" t="str">
        <f t="shared" si="0"/>
        <v>CCLF1.PRNCPL_DGNS_CD</v>
      </c>
      <c r="L18" s="7" t="str">
        <f>_xlfn.XLOOKUP("*'"&amp;K18&amp;"'*",Data_Dictionary[cclfMapping],Data_Dictionary[Field Name],,2)</f>
        <v>Claim Diagnosis Code</v>
      </c>
      <c r="M18" s="7" t="str">
        <f>_xlfn.XLOOKUP("*'"&amp;K18&amp;"'*",Data_Dictionary[cclfMapping],Data_Dictionary[Field Name],,2)</f>
        <v>Claim Diagnosis Code</v>
      </c>
      <c r="N18" s="7" t="str">
        <f>_xlfn.XLOOKUP("*'"&amp;K18&amp;"'*",Data_Dictionary[cclfMapping],Data_Dictionary[fhirPath],,2)</f>
        <v>ExplanationOfBenefit.diagnosis.diagnosis.coding.code</v>
      </c>
    </row>
    <row r="19" spans="1:14" ht="24">
      <c r="A19" s="10" t="s">
        <v>1973</v>
      </c>
      <c r="B19" s="8">
        <v>11</v>
      </c>
      <c r="C19" s="7" t="s">
        <v>2001</v>
      </c>
      <c r="D19" s="7" t="s">
        <v>2002</v>
      </c>
      <c r="E19" s="8">
        <v>73</v>
      </c>
      <c r="F19" s="8">
        <v>79</v>
      </c>
      <c r="G19" s="8">
        <v>7</v>
      </c>
      <c r="H19" s="7" t="s">
        <v>1999</v>
      </c>
      <c r="I19" s="9" t="s">
        <v>2003</v>
      </c>
      <c r="J19" s="7">
        <v>18</v>
      </c>
      <c r="K19" s="7" t="str">
        <f t="shared" si="0"/>
        <v>CCLF1.ADMTG_DGNS_CD</v>
      </c>
      <c r="L19" s="7" t="str">
        <f>_xlfn.XLOOKUP("*'"&amp;K19&amp;"'*",Data_Dictionary[cclfMapping],Data_Dictionary[Field Name],,2)</f>
        <v>Claim Diagnosis Code</v>
      </c>
      <c r="M19" s="7" t="str">
        <f>_xlfn.XLOOKUP("*'"&amp;K19&amp;"'*",Data_Dictionary[cclfMapping],Data_Dictionary[Field Name],,2)</f>
        <v>Claim Diagnosis Code</v>
      </c>
      <c r="N19" s="7" t="str">
        <f>_xlfn.XLOOKUP("*'"&amp;K19&amp;"'*",Data_Dictionary[cclfMapping],Data_Dictionary[fhirPath],,2)</f>
        <v>ExplanationOfBenefit.diagnosis.diagnosis.coding.code</v>
      </c>
    </row>
    <row r="20" spans="1:14" ht="48">
      <c r="A20" s="10" t="s">
        <v>1973</v>
      </c>
      <c r="B20" s="8">
        <v>12</v>
      </c>
      <c r="C20" s="7" t="s">
        <v>923</v>
      </c>
      <c r="D20" s="7" t="s">
        <v>2004</v>
      </c>
      <c r="E20" s="8">
        <v>80</v>
      </c>
      <c r="F20" s="8">
        <v>81</v>
      </c>
      <c r="G20" s="8">
        <v>2</v>
      </c>
      <c r="H20" s="7" t="s">
        <v>2005</v>
      </c>
      <c r="I20" s="11" t="s">
        <v>2006</v>
      </c>
      <c r="J20" s="7">
        <v>19</v>
      </c>
      <c r="K20" s="7" t="str">
        <f t="shared" si="0"/>
        <v>CCLF1.CLM_MDCR_NPMT_RSN_CD</v>
      </c>
      <c r="L20" s="7" t="str">
        <f>_xlfn.XLOOKUP("*'"&amp;K20&amp;"'*",Data_Dictionary[cclfMapping],Data_Dictionary[Field Name],,2)</f>
        <v>Claim Non Payment Reason Code</v>
      </c>
      <c r="M20" s="7" t="str">
        <f>_xlfn.XLOOKUP("*'"&amp;K20&amp;"'*",Data_Dictionary[cclfMapping],Data_Dictionary[Field Name],,2)</f>
        <v>Claim Non Payment Reason Code</v>
      </c>
      <c r="N20" s="7" t="str">
        <f>_xlfn.XLOOKUP("*'"&amp;K20&amp;"'*",Data_Dictionary[cclfMapping],Data_Dictionary[fhirPath],,2)</f>
        <v>ExplanationOfBenefit.supportingInfo.where(category.coding.where(system='https://bluebutton.cms.gov/fhir/CodeSystem/Supporting-Information').exists() and category.coding.where(code='CLM_MDCR_NPMT_RSN_CD').exists()).code.coding.code</v>
      </c>
    </row>
    <row r="21" spans="1:14" ht="12.75">
      <c r="A21" s="10" t="s">
        <v>1973</v>
      </c>
      <c r="B21" s="8">
        <v>13</v>
      </c>
      <c r="C21" s="7" t="s">
        <v>496</v>
      </c>
      <c r="D21" s="7" t="s">
        <v>2007</v>
      </c>
      <c r="E21" s="8">
        <v>82</v>
      </c>
      <c r="F21" s="8">
        <v>98</v>
      </c>
      <c r="G21" s="8">
        <v>17</v>
      </c>
      <c r="H21" s="7" t="s">
        <v>2008</v>
      </c>
      <c r="I21" s="9" t="s">
        <v>2009</v>
      </c>
      <c r="J21" s="7">
        <v>20</v>
      </c>
      <c r="K21" s="7" t="str">
        <f t="shared" si="0"/>
        <v>CCLF1.CLM_PMT_AMT</v>
      </c>
      <c r="L21" s="7" t="str">
        <f>_xlfn.XLOOKUP("*'"&amp;K21&amp;"'*",Data_Dictionary[cclfMapping],Data_Dictionary[Field Name],,2)</f>
        <v>Payment Amount</v>
      </c>
      <c r="M21" s="7" t="str">
        <f>_xlfn.XLOOKUP("*'"&amp;K21&amp;"'*",Data_Dictionary[cclfMapping],Data_Dictionary[Field Name],,2)</f>
        <v>Payment Amount</v>
      </c>
      <c r="N21" s="7" t="str">
        <f>_xlfn.XLOOKUP("*'"&amp;K21&amp;"'*",Data_Dictionary[cclfMapping],Data_Dictionary[fhirPath],,2)</f>
        <v>ExplanationOfBenefit.payment.amount.value</v>
      </c>
    </row>
    <row r="22" spans="1:14" ht="72">
      <c r="A22" s="10" t="s">
        <v>1973</v>
      </c>
      <c r="B22" s="8">
        <v>14</v>
      </c>
      <c r="C22" s="7" t="s">
        <v>991</v>
      </c>
      <c r="D22" s="7" t="s">
        <v>2010</v>
      </c>
      <c r="E22" s="8">
        <v>99</v>
      </c>
      <c r="F22" s="8">
        <v>99</v>
      </c>
      <c r="G22" s="8">
        <v>1</v>
      </c>
      <c r="H22" s="7" t="s">
        <v>1993</v>
      </c>
      <c r="I22" s="11" t="s">
        <v>2011</v>
      </c>
      <c r="J22" s="7">
        <v>21</v>
      </c>
      <c r="K22" s="7" t="str">
        <f t="shared" si="0"/>
        <v>CCLF1.CLM_NCH_PRMRY_PYR_CD</v>
      </c>
      <c r="L22" s="7" t="str">
        <f>_xlfn.XLOOKUP("*'"&amp;K22&amp;"'*",Data_Dictionary[cclfMapping],Data_Dictionary[Field Name],,2)</f>
        <v>The code outlining the primary payer.</v>
      </c>
      <c r="M22" s="7" t="str">
        <f>_xlfn.XLOOKUP("*'"&amp;K22&amp;"'*",Data_Dictionary[cclfMapping],Data_Dictionary[Field Name],,2)</f>
        <v>The code outlining the primary payer.</v>
      </c>
      <c r="N22" s="7" t="str">
        <f>_xlfn.XLOOKUP("*'"&amp;K22&amp;"'*",Data_Dictionary[cclfMapping],Data_Dictionary[fhirPath],,2)</f>
        <v>ExplanationOfBenefit.supportingInfo.where(category.coding.where(system='https://bluebutton.cms.gov/fhir/CodeSystem/Supporting-Information').exists() and category.coding.where(code='CLM_NCH_PRMRY_PYR_CD').exists()).code.coding.where(system='https://bluebutton.cms.gov/fhir/CodeSystem/CLM-PRMRY-PYR-CD').code</v>
      </c>
    </row>
    <row r="23" spans="1:14" ht="24">
      <c r="A23" s="10" t="s">
        <v>1973</v>
      </c>
      <c r="B23" s="8">
        <v>15</v>
      </c>
      <c r="C23" s="7" t="s">
        <v>2012</v>
      </c>
      <c r="D23" s="7" t="s">
        <v>2013</v>
      </c>
      <c r="E23" s="8">
        <v>100</v>
      </c>
      <c r="F23" s="8">
        <v>101</v>
      </c>
      <c r="G23" s="8">
        <v>2</v>
      </c>
      <c r="H23" s="7" t="s">
        <v>2005</v>
      </c>
      <c r="I23" s="7" t="s">
        <v>1632</v>
      </c>
      <c r="J23" s="7">
        <v>22</v>
      </c>
      <c r="K23" s="7" t="str">
        <f t="shared" si="0"/>
        <v>CCLF1.PRVDR_FAC_FIPS_ST_CD</v>
      </c>
      <c r="L23" s="7" t="str">
        <f>_xlfn.XLOOKUP("*'"&amp;K23&amp;"'*",Data_Dictionary[cclfMapping],Data_Dictionary[Field Name],,2)</f>
        <v>State FIPS Code</v>
      </c>
      <c r="M23" s="7" t="str">
        <f>_xlfn.XLOOKUP("*'"&amp;K23&amp;"'*",Data_Dictionary[cclfMapping],Data_Dictionary[Field Name],,2)</f>
        <v>State FIPS Code</v>
      </c>
      <c r="N23" s="7" t="str">
        <f>_xlfn.XLOOKUP("*'"&amp;K23&amp;"'*",Data_Dictionary[cclfMapping],Data_Dictionary[fhirPath],,2)</f>
        <v>ExplanationOfBenefit.supportingInfo.where(category.coding.where(system='https://bluebutton.cms.gov/fhir/CodeSystem/Supporting-Information').exists() and category.coding.where(code='PRVDR_FAC_FIPS_ST_CD').exists()).code</v>
      </c>
    </row>
    <row r="24" spans="1:14" ht="84">
      <c r="A24" s="10" t="s">
        <v>1973</v>
      </c>
      <c r="B24" s="8">
        <v>16</v>
      </c>
      <c r="C24" s="7" t="s">
        <v>775</v>
      </c>
      <c r="D24" s="7" t="s">
        <v>2014</v>
      </c>
      <c r="E24" s="8">
        <v>102</v>
      </c>
      <c r="F24" s="8">
        <v>103</v>
      </c>
      <c r="G24" s="8">
        <v>2</v>
      </c>
      <c r="H24" s="7" t="s">
        <v>2005</v>
      </c>
      <c r="I24" s="11" t="s">
        <v>2015</v>
      </c>
      <c r="J24" s="7">
        <v>23</v>
      </c>
      <c r="K24" s="7" t="str">
        <f t="shared" si="0"/>
        <v>CCLF1.BENE_PTNT_STUS_CD</v>
      </c>
      <c r="L24" s="7" t="str">
        <f>_xlfn.XLOOKUP("*'"&amp;K24&amp;"'*",Data_Dictionary[cclfMapping],Data_Dictionary[Field Name],,2)</f>
        <v>Patient Discharge Status Code</v>
      </c>
      <c r="M24" s="7" t="str">
        <f>_xlfn.XLOOKUP("*'"&amp;K24&amp;"'*",Data_Dictionary[cclfMapping],Data_Dictionary[Field Name],,2)</f>
        <v>Patient Discharge Status Code</v>
      </c>
      <c r="N24" s="7" t="str">
        <f>_xlfn.XLOOKUP("*'"&amp;K24&amp;"'*",Data_Dictionary[cclfMapping],Data_Dictionary[fhirPath],,2)</f>
        <v>ExplanationOfBenefit.supportingInfo.where(category.coding.system='http://hl7.org/fhir/us/carin-bb/CodeSystem/C4BBSupportingInfoType' and category.coding.code='discharge-status').code.coding.where(system='https://bluebutton.cms.gov/fhir/CodeSystem/BENE-PTNT-STUS-CD').code</v>
      </c>
    </row>
    <row r="25" spans="1:14" ht="36">
      <c r="A25" s="10" t="s">
        <v>1973</v>
      </c>
      <c r="B25" s="8">
        <v>17</v>
      </c>
      <c r="C25" s="7" t="s">
        <v>783</v>
      </c>
      <c r="D25" s="7" t="s">
        <v>2016</v>
      </c>
      <c r="E25" s="8">
        <v>104</v>
      </c>
      <c r="F25" s="8">
        <v>107</v>
      </c>
      <c r="G25" s="8">
        <v>4</v>
      </c>
      <c r="H25" s="7" t="s">
        <v>2017</v>
      </c>
      <c r="I25" s="9" t="s">
        <v>2018</v>
      </c>
      <c r="J25" s="7">
        <v>24</v>
      </c>
      <c r="K25" s="7" t="str">
        <f t="shared" si="0"/>
        <v>CCLF1.DGNS_DRG_CD</v>
      </c>
      <c r="L25" s="7" t="str">
        <f>_xlfn.XLOOKUP("*'"&amp;K25&amp;"'*",Data_Dictionary[cclfMapping],Data_Dictionary[Field Name],,2)</f>
        <v>Claim Diagnosis Related Group Code</v>
      </c>
      <c r="M25" s="7" t="str">
        <f>_xlfn.XLOOKUP("*'"&amp;K25&amp;"'*",Data_Dictionary[cclfMapping],Data_Dictionary[Field Name],,2)</f>
        <v>Claim Diagnosis Related Group Code</v>
      </c>
      <c r="N25" s="7" t="str">
        <f>_xlfn.XLOOKUP("*'"&amp;K25&amp;"'*",Data_Dictionary[cclfMapping],Data_Dictionary[fhirPath],,2)</f>
        <v>ExplanationOfBenefit.supportingInfo.where(category.coding.system='http://hl7.org/fhir/us/carin-bb/CodeSystem/C4BBSupportingInfoType' and category.coding.code='drg').code.coding.where(system='https://www.cms.gov/Medicare/Medicare-Fee-for-Service-Payment/AcuteInpatientPPS/MS-DRG-Classifications-and-Software').code</v>
      </c>
    </row>
    <row r="26" spans="1:14" ht="238.5">
      <c r="A26" s="10" t="s">
        <v>1973</v>
      </c>
      <c r="B26" s="8">
        <v>18</v>
      </c>
      <c r="C26" s="7" t="s">
        <v>477</v>
      </c>
      <c r="D26" s="7" t="s">
        <v>472</v>
      </c>
      <c r="E26" s="8">
        <v>108</v>
      </c>
      <c r="F26" s="8">
        <v>108</v>
      </c>
      <c r="G26" s="8">
        <v>1</v>
      </c>
      <c r="H26" s="7" t="s">
        <v>1993</v>
      </c>
      <c r="I26" s="9" t="s">
        <v>2019</v>
      </c>
      <c r="J26" s="7">
        <v>25</v>
      </c>
      <c r="K26" s="7" t="str">
        <f t="shared" si="0"/>
        <v>CCLF1.CLM_OP_SRVC_TYPE_CD</v>
      </c>
      <c r="L26" s="7" t="str">
        <f>_xlfn.XLOOKUP("*'"&amp;K26&amp;"'*",Data_Dictionary[cclfMapping],Data_Dictionary[Field Name],,2)</f>
        <v>Claim Outpatient Service Type Code</v>
      </c>
      <c r="M26" s="7" t="str">
        <f>_xlfn.XLOOKUP("*'"&amp;K26&amp;"'*",Data_Dictionary[cclfMapping],Data_Dictionary[Field Name],,2)</f>
        <v>Claim Outpatient Service Type Code</v>
      </c>
      <c r="N26" s="7" t="str">
        <f>_xlfn.XLOOKUP("*'"&amp;K26&amp;"'*",Data_Dictionary[cclfMapping],Data_Dictionary[fhirPath],,2)</f>
        <v>ExplanationOfBenefit.supportingInfo.where(code.coding.system='https://bluebutton.cms.gov/fhir/CodeSystem/CLM-OP-SRVC-TYPE-CD').code.coding.code</v>
      </c>
    </row>
    <row r="27" spans="1:14" ht="24">
      <c r="A27" s="10" t="s">
        <v>1973</v>
      </c>
      <c r="B27" s="8">
        <v>19</v>
      </c>
      <c r="C27" s="7" t="s">
        <v>2020</v>
      </c>
      <c r="D27" s="7" t="s">
        <v>2021</v>
      </c>
      <c r="E27" s="8">
        <v>109</v>
      </c>
      <c r="F27" s="8">
        <v>118</v>
      </c>
      <c r="G27" s="8">
        <v>10</v>
      </c>
      <c r="H27" s="7" t="s">
        <v>2022</v>
      </c>
      <c r="I27" s="7" t="s">
        <v>2023</v>
      </c>
      <c r="J27" s="7">
        <v>26</v>
      </c>
      <c r="K27" s="7" t="str">
        <f t="shared" si="0"/>
        <v>CCLF1.FAC_PRVDR_NPI_NUM</v>
      </c>
      <c r="L27" s="7" t="str">
        <f>_xlfn.XLOOKUP("*'"&amp;K27&amp;"'*",Data_Dictionary[cclfMapping],Data_Dictionary[Field Name],,2)</f>
        <v>Provider billing NPI number</v>
      </c>
      <c r="M27" s="7" t="str">
        <f>_xlfn.XLOOKUP("*'"&amp;K27&amp;"'*",Data_Dictionary[cclfMapping],Data_Dictionary[Field Name],,2)</f>
        <v>Provider billing NPI number</v>
      </c>
      <c r="N27" s="7" t="str">
        <f>_xlfn.XLOOKUP("*'"&amp;K27&amp;"'*",Data_Dictionary[cclfMapping],Data_Dictionary[fhirPath],,2)</f>
        <v>ExplanationOfBenefit.contained.where(id = %root.provider.reference.substring(1)).identifier.where(system='http://hl7.org/fhir/sid/us-npi').value</v>
      </c>
    </row>
    <row r="28" spans="1:14" ht="24">
      <c r="A28" s="10" t="s">
        <v>1973</v>
      </c>
      <c r="B28" s="8">
        <v>20</v>
      </c>
      <c r="C28" s="7" t="s">
        <v>2024</v>
      </c>
      <c r="D28" s="7" t="s">
        <v>2025</v>
      </c>
      <c r="E28" s="8">
        <v>119</v>
      </c>
      <c r="F28" s="8">
        <v>128</v>
      </c>
      <c r="G28" s="8">
        <v>10</v>
      </c>
      <c r="H28" s="7" t="s">
        <v>2022</v>
      </c>
      <c r="I28" s="7" t="s">
        <v>2026</v>
      </c>
      <c r="J28" s="7">
        <v>27</v>
      </c>
      <c r="K28" s="7" t="str">
        <f t="shared" si="0"/>
        <v>CCLF1.OPRTG_PRVDR_NPI_NUM</v>
      </c>
      <c r="L28" s="7" t="str">
        <f>_xlfn.XLOOKUP("*'"&amp;K28&amp;"'*",Data_Dictionary[cclfMapping],Data_Dictionary[Field Name],,2)</f>
        <v>Operating Physician NPI</v>
      </c>
      <c r="M28" s="7" t="str">
        <f>_xlfn.XLOOKUP("*'"&amp;K28&amp;"'*",Data_Dictionary[cclfMapping],Data_Dictionary[Field Name],,2)</f>
        <v>Operating Physician NPI</v>
      </c>
      <c r="N28" s="7" t="str">
        <f>_xlfn.XLOOKUP("*'"&amp;K28&amp;"'*",Data_Dictionary[cclfMapping],Data_Dictionary[fhirPath],,2)</f>
        <v>ExplanationOfBenefit.careTeam.where(role.coding.where(code = 'otheroperating').exists()).provider.identifier.value</v>
      </c>
    </row>
    <row r="29" spans="1:14" ht="24">
      <c r="A29" s="10" t="s">
        <v>1973</v>
      </c>
      <c r="B29" s="8">
        <v>21</v>
      </c>
      <c r="C29" s="7" t="s">
        <v>2027</v>
      </c>
      <c r="D29" s="7" t="s">
        <v>2028</v>
      </c>
      <c r="E29" s="8">
        <v>129</v>
      </c>
      <c r="F29" s="8">
        <v>138</v>
      </c>
      <c r="G29" s="8">
        <v>10</v>
      </c>
      <c r="H29" s="7" t="s">
        <v>2022</v>
      </c>
      <c r="I29" s="7" t="s">
        <v>2029</v>
      </c>
      <c r="J29" s="7">
        <v>28</v>
      </c>
      <c r="K29" s="7" t="str">
        <f t="shared" si="0"/>
        <v>CCLF1.ATNDG_PRVDR_NPI_NUM</v>
      </c>
      <c r="L29" s="7" t="str">
        <f>_xlfn.XLOOKUP("*'"&amp;K29&amp;"'*",Data_Dictionary[cclfMapping],Data_Dictionary[Field Name],,2)</f>
        <v>Attending Physician NPI</v>
      </c>
      <c r="M29" s="7" t="str">
        <f>_xlfn.XLOOKUP("*'"&amp;K29&amp;"'*",Data_Dictionary[cclfMapping],Data_Dictionary[Field Name],,2)</f>
        <v>Attending Physician NPI</v>
      </c>
      <c r="N29" s="7" t="str">
        <f>_xlfn.XLOOKUP("*'"&amp;K29&amp;"'*",Data_Dictionary[cclfMapping],Data_Dictionary[fhirPath],,2)</f>
        <v>ExplanationOfBenefit.careTeam.where(role.coding.where(code = 'attending').exists()).provider.identifier.value</v>
      </c>
    </row>
    <row r="30" spans="1:14" ht="24">
      <c r="A30" s="10" t="s">
        <v>1973</v>
      </c>
      <c r="B30" s="8">
        <v>22</v>
      </c>
      <c r="C30" s="7" t="s">
        <v>2030</v>
      </c>
      <c r="D30" s="7" t="s">
        <v>2031</v>
      </c>
      <c r="E30" s="8">
        <v>139</v>
      </c>
      <c r="F30" s="8">
        <v>148</v>
      </c>
      <c r="G30" s="8">
        <v>10</v>
      </c>
      <c r="H30" s="7" t="s">
        <v>2022</v>
      </c>
      <c r="I30" s="7" t="s">
        <v>2032</v>
      </c>
      <c r="J30" s="7">
        <v>29</v>
      </c>
      <c r="K30" s="7" t="str">
        <f t="shared" si="0"/>
        <v>CCLF1.OTHR_PRVDR_NPI_NUM</v>
      </c>
      <c r="L30" s="7" t="str">
        <f>_xlfn.XLOOKUP("*'"&amp;K30&amp;"'*",Data_Dictionary[cclfMapping],Data_Dictionary[Field Name],,2)</f>
        <v>Other Physician NPI</v>
      </c>
      <c r="M30" s="7" t="str">
        <f>_xlfn.XLOOKUP("*'"&amp;K30&amp;"'*",Data_Dictionary[cclfMapping],Data_Dictionary[Field Name],,2)</f>
        <v>Other Physician NPI</v>
      </c>
      <c r="N30" s="7" t="str">
        <f>_xlfn.XLOOKUP("*'"&amp;K30&amp;"'*",Data_Dictionary[cclfMapping],Data_Dictionary[fhirPath],,2)</f>
        <v>ExplanationOfBenefit.careTeam.where(role.coding.where(code = 'otheroperating').exists()).provider.identifier.value or ExplanationOfBenefit.careTeam.where(role.coding.where(code = 'supervisor').exists()).provider.identifier.value</v>
      </c>
    </row>
    <row r="31" spans="1:14" ht="72">
      <c r="A31" s="10" t="s">
        <v>1973</v>
      </c>
      <c r="B31" s="8">
        <v>23</v>
      </c>
      <c r="C31" s="7" t="s">
        <v>2033</v>
      </c>
      <c r="D31" s="7" t="s">
        <v>343</v>
      </c>
      <c r="E31" s="8">
        <v>149</v>
      </c>
      <c r="F31" s="8">
        <v>150</v>
      </c>
      <c r="G31" s="8">
        <v>2</v>
      </c>
      <c r="H31" s="7" t="s">
        <v>2005</v>
      </c>
      <c r="I31" s="9" t="s">
        <v>2034</v>
      </c>
      <c r="J31" s="7">
        <v>30</v>
      </c>
      <c r="K31" s="7" t="str">
        <f t="shared" si="0"/>
        <v>CCLF1.CLM_ADJSMT_TYPE_CD</v>
      </c>
      <c r="L31" s="7" t="str">
        <f>_xlfn.XLOOKUP("*'"&amp;K31&amp;"'*",Data_Dictionary[cclfMapping],Data_Dictionary[Field Name],,2)</f>
        <v>Claim Adjustment Type Code</v>
      </c>
      <c r="M31" s="7" t="str">
        <f>_xlfn.XLOOKUP("*'"&amp;K31&amp;"'*",Data_Dictionary[cclfMapping],Data_Dictionary[Field Name],,2)</f>
        <v>Claim Adjustment Type Code</v>
      </c>
      <c r="N31" s="7" t="str">
        <f>_xlfn.XLOOKUP("*'"&amp;K31&amp;"'*",Data_Dictionary[cclfMapping],Data_Dictionary[fhirPath],,2)</f>
        <v>ExplanationOfBenefit.supportingInfo.where(category.coding.where(system='https://bluebutton.cms.gov/fhir/CodeSystem/Supporting-Information').exists() and category.coding.where(code='CLM_ADJSTMT_TYPE_CD').exists()).code.coding.code</v>
      </c>
    </row>
    <row r="32" spans="1:14" ht="24">
      <c r="A32" s="10" t="s">
        <v>1973</v>
      </c>
      <c r="B32" s="8">
        <v>24</v>
      </c>
      <c r="C32" s="7" t="s">
        <v>95</v>
      </c>
      <c r="D32" s="7" t="s">
        <v>92</v>
      </c>
      <c r="E32" s="8">
        <v>151</v>
      </c>
      <c r="F32" s="8">
        <v>160</v>
      </c>
      <c r="G32" s="8">
        <v>10</v>
      </c>
      <c r="H32" s="7" t="s">
        <v>1989</v>
      </c>
      <c r="I32" s="9" t="s">
        <v>2035</v>
      </c>
      <c r="J32" s="7">
        <v>31</v>
      </c>
      <c r="K32" s="7" t="str">
        <f t="shared" si="0"/>
        <v>CCLF1.CLM_EFCTV_DT</v>
      </c>
      <c r="L32" s="7" t="str">
        <f>_xlfn.XLOOKUP("*'"&amp;K32&amp;"'*",Data_Dictionary[cclfMapping],Data_Dictionary[Field Name],,2)</f>
        <v>Claim Effective Date</v>
      </c>
      <c r="M32" s="7" t="str">
        <f>_xlfn.XLOOKUP("*'"&amp;K32&amp;"'*",Data_Dictionary[cclfMapping],Data_Dictionary[Field Name],,2)</f>
        <v>Claim Effective Date</v>
      </c>
      <c r="N32" s="7" t="str">
        <f>_xlfn.XLOOKUP("*'"&amp;K32&amp;"'*",Data_Dictionary[cclfMapping],Data_Dictionary[fhirPath],,2)</f>
        <v>ExplanationOfBenefit.created</v>
      </c>
    </row>
    <row r="33" spans="1:14" ht="24">
      <c r="A33" s="10" t="s">
        <v>1973</v>
      </c>
      <c r="B33" s="8">
        <v>25</v>
      </c>
      <c r="C33" s="7" t="s">
        <v>362</v>
      </c>
      <c r="D33" s="7" t="s">
        <v>358</v>
      </c>
      <c r="E33" s="8">
        <v>161</v>
      </c>
      <c r="F33" s="8">
        <v>170</v>
      </c>
      <c r="G33" s="8">
        <v>10</v>
      </c>
      <c r="H33" s="7" t="s">
        <v>1989</v>
      </c>
      <c r="I33" s="7" t="s">
        <v>2036</v>
      </c>
      <c r="J33" s="7">
        <v>32</v>
      </c>
      <c r="K33" s="7" t="str">
        <f t="shared" si="0"/>
        <v>CCLF1.CLM_IDR_LD_DT</v>
      </c>
      <c r="L33" s="7" t="str">
        <f>_xlfn.XLOOKUP("*'"&amp;K33&amp;"'*",Data_Dictionary[cclfMapping],Data_Dictionary[Field Name],,2)</f>
        <v>Claim IDR Load Date</v>
      </c>
      <c r="M33" s="7" t="str">
        <f>_xlfn.XLOOKUP("*'"&amp;K33&amp;"'*",Data_Dictionary[cclfMapping],Data_Dictionary[Field Name],,2)</f>
        <v>Claim IDR Load Date</v>
      </c>
      <c r="N33" s="7" t="str">
        <f>_xlfn.XLOOKUP("*'"&amp;K33&amp;"'*",Data_Dictionary[cclfMapping],Data_Dictionary[fhirPath],,2)</f>
        <v>ExplanationOfBenefit.supportingInfo.where(category.coding.where(system='https://bluebutton.cms.gov/fhir/CodeSystem/Supporting-Information').exists() and category.coding.where(code='CLM_IDR_LD_DT').exists()).timing</v>
      </c>
    </row>
    <row r="34" spans="1:14" ht="96">
      <c r="A34" s="10" t="s">
        <v>1973</v>
      </c>
      <c r="B34" s="8">
        <v>26</v>
      </c>
      <c r="C34" s="7" t="s">
        <v>2037</v>
      </c>
      <c r="D34" s="9" t="s">
        <v>2038</v>
      </c>
      <c r="E34" s="8">
        <v>171</v>
      </c>
      <c r="F34" s="8">
        <v>181</v>
      </c>
      <c r="G34" s="8">
        <v>11</v>
      </c>
      <c r="H34" s="7" t="s">
        <v>1982</v>
      </c>
      <c r="I34" s="9" t="s">
        <v>2039</v>
      </c>
      <c r="J34" s="7">
        <v>33</v>
      </c>
      <c r="K34" s="7" t="str">
        <f t="shared" si="0"/>
        <v>CCLF1.BENE_EQTBL_BIC_HICN_NUM</v>
      </c>
      <c r="L34" s="7" t="e">
        <f>_xlfn.XLOOKUP("*'"&amp;K34&amp;"'*",Data_Dictionary[cclfMapping],Data_Dictionary[Field Name],,2)</f>
        <v>#N/A</v>
      </c>
      <c r="M34" s="7" t="e">
        <f>_xlfn.XLOOKUP("*'"&amp;K34&amp;"'*",Data_Dictionary[cclfMapping],Data_Dictionary[Field Name],,2)</f>
        <v>#N/A</v>
      </c>
      <c r="N34" s="7" t="e">
        <f>_xlfn.XLOOKUP("*'"&amp;K34&amp;"'*",Data_Dictionary[cclfMapping],Data_Dictionary[fhirPath],,2)</f>
        <v>#N/A</v>
      </c>
    </row>
    <row r="35" spans="1:14" ht="118.5">
      <c r="A35" s="10" t="s">
        <v>1973</v>
      </c>
      <c r="B35" s="8">
        <v>27</v>
      </c>
      <c r="C35" s="7" t="s">
        <v>761</v>
      </c>
      <c r="D35" s="7" t="s">
        <v>758</v>
      </c>
      <c r="E35" s="8">
        <v>182</v>
      </c>
      <c r="F35" s="8">
        <v>183</v>
      </c>
      <c r="G35" s="8">
        <v>2</v>
      </c>
      <c r="H35" s="7" t="s">
        <v>2040</v>
      </c>
      <c r="I35" s="9" t="s">
        <v>2041</v>
      </c>
      <c r="J35" s="7">
        <v>34</v>
      </c>
      <c r="K35" s="7" t="str">
        <f t="shared" si="0"/>
        <v>CCLF1.CLM_ADMSN_TYPE_CD</v>
      </c>
      <c r="L35" s="7" t="str">
        <f>_xlfn.XLOOKUP("*'"&amp;K35&amp;"'*",Data_Dictionary[cclfMapping],Data_Dictionary[Field Name],,2)</f>
        <v>Claim Admission Type Code</v>
      </c>
      <c r="M35" s="7" t="str">
        <f>_xlfn.XLOOKUP("*'"&amp;K35&amp;"'*",Data_Dictionary[cclfMapping],Data_Dictionary[Field Name],,2)</f>
        <v>Claim Admission Type Code</v>
      </c>
      <c r="N35" s="7" t="str">
        <f>_xlfn.XLOOKUP("*'"&amp;K35&amp;"'*",Data_Dictionary[cclfMapping],Data_Dictionary[fhirPath],,2)</f>
        <v>ExplanationOfBenefit.supportingInfo.where(category.coding.system='http://hl7.org/fhir/us/carin-bb/CodeSystem/C4BBSupportingInfoType' and category.coding.code='admtype').code.coding.where(system='https://bluebutton.cms.gov/fhir/CodeSystem/CLM-ADMSN-TYPE-CD').code</v>
      </c>
    </row>
    <row r="36" spans="1:14" ht="36">
      <c r="A36" s="10" t="s">
        <v>1973</v>
      </c>
      <c r="B36" s="8">
        <v>28</v>
      </c>
      <c r="C36" s="7" t="s">
        <v>802</v>
      </c>
      <c r="D36" s="7" t="s">
        <v>2042</v>
      </c>
      <c r="E36" s="8">
        <v>184</v>
      </c>
      <c r="F36" s="8">
        <v>185</v>
      </c>
      <c r="G36" s="8">
        <v>2</v>
      </c>
      <c r="H36" s="7" t="s">
        <v>2040</v>
      </c>
      <c r="I36" s="11" t="s">
        <v>2043</v>
      </c>
      <c r="J36" s="7">
        <v>35</v>
      </c>
      <c r="K36" s="7" t="str">
        <f t="shared" si="0"/>
        <v>CCLF1.CLM_ADMSN_SRC_CD</v>
      </c>
      <c r="L36" s="7" t="str">
        <f>_xlfn.XLOOKUP("*'"&amp;K36&amp;"'*",Data_Dictionary[cclfMapping],Data_Dictionary[Field Name],,2)</f>
        <v>Source Admission Code</v>
      </c>
      <c r="M36" s="7" t="str">
        <f>_xlfn.XLOOKUP("*'"&amp;K36&amp;"'*",Data_Dictionary[cclfMapping],Data_Dictionary[Field Name],,2)</f>
        <v>Source Admission Code</v>
      </c>
      <c r="N36" s="7" t="str">
        <f>_xlfn.XLOOKUP("*'"&amp;K36&amp;"'*",Data_Dictionary[cclfMapping],Data_Dictionary[fhirPath],,2)</f>
        <v>ExplanationOfBenefit.supportingInfo.where(category.coding.system='http://hl7.org/fhir/us/carin-bb/CodeSystem/C4BBSupportingInfoType' and category.coding.code='pointoforigin').code.coding.where(system='https://bluebutton.cms.gov/fhir/CodeSystem/CLM-ADMSN-SRC-CD').code</v>
      </c>
    </row>
    <row r="37" spans="1:14" ht="48">
      <c r="A37" s="10" t="s">
        <v>1973</v>
      </c>
      <c r="B37" s="8">
        <v>29</v>
      </c>
      <c r="C37" s="7" t="s">
        <v>832</v>
      </c>
      <c r="D37" s="7" t="s">
        <v>2044</v>
      </c>
      <c r="E37" s="8">
        <v>186</v>
      </c>
      <c r="F37" s="8">
        <v>186</v>
      </c>
      <c r="G37" s="8">
        <v>1</v>
      </c>
      <c r="H37" s="7" t="s">
        <v>1964</v>
      </c>
      <c r="I37" s="11" t="s">
        <v>2045</v>
      </c>
      <c r="J37" s="7">
        <v>36</v>
      </c>
      <c r="K37" s="7" t="str">
        <f t="shared" si="0"/>
        <v>CCLF1.CLM_BILL_FREQ_CD</v>
      </c>
      <c r="L37" s="7" t="str">
        <f>_xlfn.XLOOKUP("*'"&amp;K37&amp;"'*",Data_Dictionary[cclfMapping],Data_Dictionary[Field Name],,2)</f>
        <v>Bill Frequency Code</v>
      </c>
      <c r="M37" s="7" t="str">
        <f>_xlfn.XLOOKUP("*'"&amp;K37&amp;"'*",Data_Dictionary[cclfMapping],Data_Dictionary[Field Name],,2)</f>
        <v>Bill Frequency Code</v>
      </c>
      <c r="N37" s="7" t="str">
        <f>_xlfn.XLOOKUP("*'"&amp;K37&amp;"'*",Data_Dictionary[cclfMapping],Data_Dictionary[fhirPath],,2)</f>
        <v>ExplanationOfBenefit.supportingInfo.where(category.coding.system='http://hl7.org/fhir/us/carin-bb/CodeSystem/C4BBSupportingInfoType' and category.coding.code='typeofbill').code.coding.where(system='https://bluebutton.cms.gov/fhir/CodeSystem/CLM-BILL-FREQ-CD').code</v>
      </c>
    </row>
    <row r="38" spans="1:14" ht="118.5">
      <c r="A38" s="10" t="s">
        <v>1973</v>
      </c>
      <c r="B38" s="8">
        <v>30</v>
      </c>
      <c r="C38" s="7" t="s">
        <v>443</v>
      </c>
      <c r="D38" s="7" t="s">
        <v>440</v>
      </c>
      <c r="E38" s="8">
        <v>187</v>
      </c>
      <c r="F38" s="8">
        <v>187</v>
      </c>
      <c r="G38" s="8">
        <v>1</v>
      </c>
      <c r="H38" s="7" t="s">
        <v>1964</v>
      </c>
      <c r="I38" s="9" t="s">
        <v>2046</v>
      </c>
      <c r="J38" s="7">
        <v>37</v>
      </c>
      <c r="K38" s="7" t="str">
        <f t="shared" si="0"/>
        <v>CCLF1.CLM_QUERY_CD</v>
      </c>
      <c r="L38" s="7" t="str">
        <f>_xlfn.XLOOKUP("*'"&amp;K38&amp;"'*",Data_Dictionary[cclfMapping],Data_Dictionary[Field Name],,2)</f>
        <v>Claim Query Code</v>
      </c>
      <c r="M38" s="7" t="str">
        <f>_xlfn.XLOOKUP("*'"&amp;K38&amp;"'*",Data_Dictionary[cclfMapping],Data_Dictionary[Field Name],,2)</f>
        <v>Claim Query Code</v>
      </c>
      <c r="N38" s="7" t="str">
        <f>_xlfn.XLOOKUP("*'"&amp;K38&amp;"'*",Data_Dictionary[cclfMapping],Data_Dictionary[fhirPath],,2)</f>
        <v>ExplanationOfBenefit.supportingInfo.where(category.coding.where(system='https://bluebutton.cms.gov/fhir/CodeSystem/Supporting-Information').exists() and category.coding.where(code='CLM_QUERY_CD').exists()).code.coding.code</v>
      </c>
    </row>
    <row r="39" spans="1:14" ht="36">
      <c r="A39" s="10" t="s">
        <v>1973</v>
      </c>
      <c r="B39" s="8">
        <v>31</v>
      </c>
      <c r="C39" s="7" t="s">
        <v>2047</v>
      </c>
      <c r="D39" s="7" t="s">
        <v>2048</v>
      </c>
      <c r="E39" s="8">
        <v>188</v>
      </c>
      <c r="F39" s="8">
        <v>188</v>
      </c>
      <c r="G39" s="8">
        <v>1</v>
      </c>
      <c r="H39" s="7" t="s">
        <v>1964</v>
      </c>
      <c r="I39" s="9" t="s">
        <v>2049</v>
      </c>
      <c r="J39" s="7">
        <v>38</v>
      </c>
      <c r="K39" s="7" t="str">
        <f t="shared" si="0"/>
        <v>CCLF1.DGNS_PRCDR_ICD_IND</v>
      </c>
      <c r="L39" s="7" t="str">
        <f>_xlfn.XLOOKUP("*'"&amp;K39&amp;"'*",Data_Dictionary[cclfMapping],Data_Dictionary[Field Name],,2)</f>
        <v>Diagnosis Procedure ICD indicator</v>
      </c>
      <c r="M39" s="7" t="str">
        <f>_xlfn.XLOOKUP("*'"&amp;K39&amp;"'*",Data_Dictionary[cclfMapping],Data_Dictionary[Field Name],,2)</f>
        <v>Diagnosis Procedure ICD indicator</v>
      </c>
      <c r="N39" s="7" t="str">
        <f>_xlfn.XLOOKUP("*'"&amp;K39&amp;"'*",Data_Dictionary[cclfMapping],Data_Dictionary[fhirPath],,2)</f>
        <v>ExplanationOfBenefit.diagnosis.diagnosis.coding.system</v>
      </c>
    </row>
    <row r="40" spans="1:14" ht="36">
      <c r="A40" s="10" t="s">
        <v>1973</v>
      </c>
      <c r="B40" s="8">
        <v>32</v>
      </c>
      <c r="C40" s="7" t="s">
        <v>2050</v>
      </c>
      <c r="D40" s="7" t="s">
        <v>2051</v>
      </c>
      <c r="E40" s="8">
        <v>189</v>
      </c>
      <c r="F40" s="8">
        <v>203</v>
      </c>
      <c r="G40" s="8">
        <v>15</v>
      </c>
      <c r="H40" s="7" t="s">
        <v>2052</v>
      </c>
      <c r="I40" s="7" t="s">
        <v>2053</v>
      </c>
      <c r="J40" s="7">
        <v>39</v>
      </c>
      <c r="K40" s="7" t="str">
        <f t="shared" si="0"/>
        <v>CCLF1.CLM_MDCR_INSTNL_TOT_CHRG_AMT</v>
      </c>
      <c r="L40" s="7" t="str">
        <f>_xlfn.XLOOKUP("*'"&amp;K40&amp;"'*",Data_Dictionary[cclfMapping],Data_Dictionary[Field Name],,2)</f>
        <v>Total Charge Amount</v>
      </c>
      <c r="M40" s="7" t="str">
        <f>_xlfn.XLOOKUP("*'"&amp;K40&amp;"'*",Data_Dictionary[cclfMapping],Data_Dictionary[Field Name],,2)</f>
        <v>Total Charge Amount</v>
      </c>
      <c r="N40" s="7" t="str">
        <f>_xlfn.XLOOKUP("*'"&amp;K40&amp;"'*",Data_Dictionary[cclfMapping],Data_Dictionary[fhirPath],,2)</f>
        <v>ExplanationOfBenefit.total.where(category.coding.where(system='https://bluebutton.cms.gov/fhir/CodeSystem/Adjudication').exists() and category.coding.where(code='CLM_SBMT_CHRG_AMT').exists() ).amount.value</v>
      </c>
    </row>
    <row r="41" spans="1:14" ht="107.25">
      <c r="A41" s="10" t="s">
        <v>1973</v>
      </c>
      <c r="B41" s="8">
        <v>33</v>
      </c>
      <c r="C41" s="7" t="s">
        <v>951</v>
      </c>
      <c r="D41" s="7" t="s">
        <v>2054</v>
      </c>
      <c r="E41" s="8">
        <v>204</v>
      </c>
      <c r="F41" s="8">
        <v>218</v>
      </c>
      <c r="G41" s="8">
        <v>15</v>
      </c>
      <c r="H41" s="7" t="s">
        <v>2052</v>
      </c>
      <c r="I41" s="9" t="s">
        <v>2055</v>
      </c>
      <c r="J41" s="7">
        <v>40</v>
      </c>
      <c r="K41" s="7" t="str">
        <f t="shared" si="0"/>
        <v>CCLF1.CLM_MDCR_IP_PPS_CPTL_IME_AMT</v>
      </c>
      <c r="L41" s="7" t="str">
        <f>_xlfn.XLOOKUP("*'"&amp;K41&amp;"'*",Data_Dictionary[cclfMapping],Data_Dictionary[Field Name],,2)</f>
        <v>Claim PPS Capital IME Amount</v>
      </c>
      <c r="M41" s="7" t="str">
        <f>_xlfn.XLOOKUP("*'"&amp;K41&amp;"'*",Data_Dictionary[cclfMapping],Data_Dictionary[Field Name],,2)</f>
        <v>Claim PPS Capital IME Amount</v>
      </c>
      <c r="N41" s="7" t="str">
        <f>_xlfn.XLOOKUP("*'"&amp;K41&amp;"'*",Data_Dictionary[cclfMapping],Data_Dictionary[fhirPath],,2)</f>
        <v>ExplanationOfBenefit.adjudication.where(category.coding.where(system='https://bluebutton.cms.gov/fhir/CodeSystem/Adjudication' and code='CLM_MDCR_IP_PPS_CPTL_IME_AMT').exists()).amount.value</v>
      </c>
    </row>
    <row r="42" spans="1:14" ht="48">
      <c r="A42" s="10" t="s">
        <v>1973</v>
      </c>
      <c r="B42" s="8">
        <v>34</v>
      </c>
      <c r="C42" s="7" t="s">
        <v>2056</v>
      </c>
      <c r="D42" s="7" t="s">
        <v>2057</v>
      </c>
      <c r="E42" s="8">
        <v>219</v>
      </c>
      <c r="F42" s="8">
        <v>240</v>
      </c>
      <c r="G42" s="8">
        <v>22</v>
      </c>
      <c r="H42" s="7" t="s">
        <v>2058</v>
      </c>
      <c r="I42" s="9" t="s">
        <v>2059</v>
      </c>
      <c r="J42" s="7">
        <v>41</v>
      </c>
      <c r="K42" s="7" t="str">
        <f t="shared" si="0"/>
        <v>CCLF1.CLM_OPRTNL_IME_AMT</v>
      </c>
      <c r="L42" s="7" t="str">
        <f>_xlfn.XLOOKUP("*'"&amp;K42&amp;"'*",Data_Dictionary[cclfMapping],Data_Dictionary[Field Name],,2)</f>
        <v>Operating Indirect Medical Education Amount</v>
      </c>
      <c r="M42" s="7" t="str">
        <f>_xlfn.XLOOKUP("*'"&amp;K42&amp;"'*",Data_Dictionary[cclfMapping],Data_Dictionary[Field Name],,2)</f>
        <v>Operating Indirect Medical Education Amount</v>
      </c>
      <c r="N42" s="7" t="str">
        <f>_xlfn.XLOOKUP("*'"&amp;K42&amp;"'*",Data_Dictionary[cclfMapping],Data_Dictionary[fhirPath],,2)</f>
        <v>ExplanationOfBenefit.adjudication.where(category.coding.where(system='https://bluebutton.cms.gov/fhir/CodeSystem/Adjudication' and code='CLM_OPRTNL_IME_AMT').exists()).amount.value</v>
      </c>
    </row>
    <row r="43" spans="1:14" ht="60">
      <c r="A43" s="10" t="s">
        <v>1973</v>
      </c>
      <c r="B43" s="8">
        <v>35</v>
      </c>
      <c r="C43" s="7" t="s">
        <v>935</v>
      </c>
      <c r="D43" s="7" t="s">
        <v>2060</v>
      </c>
      <c r="E43" s="8">
        <v>241</v>
      </c>
      <c r="F43" s="8">
        <v>255</v>
      </c>
      <c r="G43" s="8">
        <v>15</v>
      </c>
      <c r="H43" s="7" t="s">
        <v>2052</v>
      </c>
      <c r="I43" s="9" t="s">
        <v>2061</v>
      </c>
      <c r="J43" s="7">
        <v>42</v>
      </c>
      <c r="K43" s="7" t="str">
        <f t="shared" si="0"/>
        <v>CCLF1.CLM_MDCR_IP_PPS_DSPRPRTNT_AMT</v>
      </c>
      <c r="L43" s="7" t="str">
        <f>_xlfn.XLOOKUP("*'"&amp;K43&amp;"'*",Data_Dictionary[cclfMapping],Data_Dictionary[Field Name],,2)</f>
        <v>Claim PPS Capital Disproportionate Share Amount</v>
      </c>
      <c r="M43" s="7" t="str">
        <f>_xlfn.XLOOKUP("*'"&amp;K43&amp;"'*",Data_Dictionary[cclfMapping],Data_Dictionary[Field Name],,2)</f>
        <v>Claim PPS Capital Disproportionate Share Amount</v>
      </c>
      <c r="N43" s="7" t="str">
        <f>_xlfn.XLOOKUP("*'"&amp;K43&amp;"'*",Data_Dictionary[cclfMapping],Data_Dictionary[fhirPath],,2)</f>
        <v>ExplanationOfBenefit.adjudication.where(category.coding.where(system='https://bluebutton.cms.gov/fhir/CodeSystem/Adjudication' and code='CLM_MDCR_IP_PPS_DSPRPRTNT_AMT').exists()).amount.value</v>
      </c>
    </row>
    <row r="44" spans="1:14" ht="72">
      <c r="A44" s="10" t="s">
        <v>1973</v>
      </c>
      <c r="B44" s="8">
        <v>36</v>
      </c>
      <c r="C44" s="7" t="s">
        <v>888</v>
      </c>
      <c r="D44" s="7" t="s">
        <v>2062</v>
      </c>
      <c r="E44" s="8">
        <v>256</v>
      </c>
      <c r="F44" s="8">
        <v>270</v>
      </c>
      <c r="G44" s="8">
        <v>15</v>
      </c>
      <c r="H44" s="7" t="s">
        <v>2052</v>
      </c>
      <c r="I44" s="9" t="s">
        <v>2063</v>
      </c>
      <c r="J44" s="7">
        <v>43</v>
      </c>
      <c r="K44" s="7" t="str">
        <f t="shared" si="0"/>
        <v>CCLF1.CLM_HIPPS_UNCOMPD_CARE_AMT</v>
      </c>
      <c r="L44" s="7" t="str">
        <f>_xlfn.XLOOKUP("*'"&amp;K44&amp;"'*",Data_Dictionary[cclfMapping],Data_Dictionary[Field Name],,2)</f>
        <v>Claim Uncompensated Care Payment Amount</v>
      </c>
      <c r="M44" s="7" t="str">
        <f>_xlfn.XLOOKUP("*'"&amp;K44&amp;"'*",Data_Dictionary[cclfMapping],Data_Dictionary[Field Name],,2)</f>
        <v>Claim Uncompensated Care Payment Amount</v>
      </c>
      <c r="N44" s="7" t="str">
        <f>_xlfn.XLOOKUP("*'"&amp;K44&amp;"'*",Data_Dictionary[cclfMapping],Data_Dictionary[fhirPath],,2)</f>
        <v>ExplanationOfBenefit.adjudication.where(category.coding.where(system='https://bluebutton.cms.gov/fhir/CodeSystem/Adjudication' and code='CLM_HIPPS_UNCOMPD_CARE_AMT').exists()).amount.value</v>
      </c>
    </row>
    <row r="45" spans="1:14" ht="72">
      <c r="A45" s="10" t="s">
        <v>1973</v>
      </c>
      <c r="B45" s="8">
        <v>37</v>
      </c>
      <c r="C45" s="7" t="s">
        <v>2064</v>
      </c>
      <c r="D45" s="7" t="s">
        <v>2065</v>
      </c>
      <c r="E45" s="8">
        <v>271</v>
      </c>
      <c r="F45" s="8">
        <v>292</v>
      </c>
      <c r="G45" s="8">
        <v>22</v>
      </c>
      <c r="H45" s="7" t="s">
        <v>2058</v>
      </c>
      <c r="I45" s="9" t="s">
        <v>2066</v>
      </c>
      <c r="J45" s="7">
        <v>44</v>
      </c>
      <c r="K45" s="7" t="str">
        <f t="shared" si="0"/>
        <v>CCLF1.CLM_OPRTNL_DSPRPRTNT_AMT</v>
      </c>
      <c r="L45" s="7" t="str">
        <f>_xlfn.XLOOKUP("*'"&amp;K45&amp;"'*",Data_Dictionary[cclfMapping],Data_Dictionary[Field Name],,2)</f>
        <v>Operating Disproportionate Share Amount</v>
      </c>
      <c r="M45" s="7" t="str">
        <f>_xlfn.XLOOKUP("*'"&amp;K45&amp;"'*",Data_Dictionary[cclfMapping],Data_Dictionary[Field Name],,2)</f>
        <v>Operating Disproportionate Share Amount</v>
      </c>
      <c r="N45" s="7" t="str">
        <f>_xlfn.XLOOKUP("*'"&amp;K45&amp;"'*",Data_Dictionary[cclfMapping],Data_Dictionary[fhirPath],,2)</f>
        <v>ExplanationOfBenefit.adjudication.where(category.coding.where(system='https://bluebutton.cms.gov/fhir/CodeSystem/Adjudication' and code='CLM_OPRTNL_DSPRTNT_AMT').exists()).amount.value</v>
      </c>
    </row>
    <row r="46" spans="1:14" ht="142.5">
      <c r="A46" s="10" t="s">
        <v>1973</v>
      </c>
      <c r="B46" s="8">
        <v>38</v>
      </c>
      <c r="C46" s="7" t="s">
        <v>1054</v>
      </c>
      <c r="D46" s="9" t="s">
        <v>2067</v>
      </c>
      <c r="E46" s="8">
        <v>293</v>
      </c>
      <c r="F46" s="8">
        <v>312</v>
      </c>
      <c r="G46" s="8">
        <v>20</v>
      </c>
      <c r="H46" s="7" t="s">
        <v>2068</v>
      </c>
      <c r="I46" s="9" t="s">
        <v>2069</v>
      </c>
      <c r="J46" s="7">
        <v>45</v>
      </c>
      <c r="K46" s="7" t="str">
        <f t="shared" si="0"/>
        <v>CCLF1.CLM_BLG_PRVDR_OSCAR_NUM</v>
      </c>
      <c r="L46" s="7" t="str">
        <f>_xlfn.XLOOKUP("*'"&amp;K46&amp;"'*",Data_Dictionary[cclfMapping],Data_Dictionary[Field Name],,2)</f>
        <v>Provider Number (OSCAR/CCN)</v>
      </c>
      <c r="M46" s="7" t="str">
        <f>_xlfn.XLOOKUP("*'"&amp;K46&amp;"'*",Data_Dictionary[cclfMapping],Data_Dictionary[Field Name],,2)</f>
        <v>Provider Number (OSCAR/CCN)</v>
      </c>
      <c r="N46" s="7" t="str">
        <f>_xlfn.XLOOKUP("*'"&amp;K46&amp;"'*",Data_Dictionary[cclfMapping],Data_Dictionary[fhirPath],,2)</f>
        <v>ExplanationOfBenefit.contained.where(id = %root.provider.reference.substring(1)).identifier.where(system='http://terminology.hl7.org/NamingSystem/CCN').value</v>
      </c>
    </row>
    <row r="47" spans="1:14" ht="107.25">
      <c r="A47" s="10" t="s">
        <v>1973</v>
      </c>
      <c r="B47" s="8">
        <v>39</v>
      </c>
      <c r="C47" s="7" t="s">
        <v>2070</v>
      </c>
      <c r="D47" s="7" t="s">
        <v>2071</v>
      </c>
      <c r="E47" s="8">
        <v>313</v>
      </c>
      <c r="F47" s="8">
        <v>322</v>
      </c>
      <c r="G47" s="8">
        <v>10</v>
      </c>
      <c r="H47" s="7" t="s">
        <v>2072</v>
      </c>
      <c r="I47" s="9" t="s">
        <v>2073</v>
      </c>
      <c r="J47" s="7">
        <v>46</v>
      </c>
      <c r="K47" s="7" t="str">
        <f t="shared" si="0"/>
        <v>CCLF1.CLM_BLG_PRVDR_NPI_NUM</v>
      </c>
      <c r="L47" s="7" t="str">
        <f>_xlfn.XLOOKUP("*'"&amp;K47&amp;"'*",Data_Dictionary[cclfMapping],Data_Dictionary[Field Name],,2)</f>
        <v>Provider billing NPI number</v>
      </c>
      <c r="M47" s="7" t="str">
        <f>_xlfn.XLOOKUP("*'"&amp;K47&amp;"'*",Data_Dictionary[cclfMapping],Data_Dictionary[Field Name],,2)</f>
        <v>Provider billing NPI number</v>
      </c>
      <c r="N47" s="7" t="str">
        <f>_xlfn.XLOOKUP("*'"&amp;K47&amp;"'*",Data_Dictionary[cclfMapping],Data_Dictionary[fhirPath],,2)</f>
        <v>ExplanationOfBenefit.contained.where(id = %root.provider.reference.substring(1)).identifier.where(system='http://hl7.org/fhir/sid/us-npi').value</v>
      </c>
    </row>
    <row r="48" spans="1:14" ht="107.25">
      <c r="A48" s="10" t="s">
        <v>1973</v>
      </c>
      <c r="B48" s="8">
        <v>40</v>
      </c>
      <c r="C48" s="7" t="s">
        <v>2074</v>
      </c>
      <c r="D48" s="7" t="s">
        <v>2075</v>
      </c>
      <c r="E48" s="8">
        <v>323</v>
      </c>
      <c r="F48" s="8">
        <v>332</v>
      </c>
      <c r="G48" s="8">
        <v>10</v>
      </c>
      <c r="H48" s="7" t="s">
        <v>2072</v>
      </c>
      <c r="I48" s="9" t="s">
        <v>2076</v>
      </c>
      <c r="J48" s="7">
        <v>47</v>
      </c>
      <c r="K48" s="7" t="str">
        <f t="shared" si="0"/>
        <v>CCLF1.CLM_OPRTG_PRVDR_NPI_NUM</v>
      </c>
      <c r="L48" s="7" t="str">
        <f>_xlfn.XLOOKUP("*'"&amp;K48&amp;"'*",Data_Dictionary[cclfMapping],Data_Dictionary[Field Name],,2)</f>
        <v>Operating Physician NPI</v>
      </c>
      <c r="M48" s="7" t="str">
        <f>_xlfn.XLOOKUP("*'"&amp;K48&amp;"'*",Data_Dictionary[cclfMapping],Data_Dictionary[Field Name],,2)</f>
        <v>Operating Physician NPI</v>
      </c>
      <c r="N48" s="7" t="str">
        <f>_xlfn.XLOOKUP("*'"&amp;K48&amp;"'*",Data_Dictionary[cclfMapping],Data_Dictionary[fhirPath],,2)</f>
        <v>ExplanationOfBenefit.careTeam.where(role.coding.where(code = 'otheroperating').exists()).provider.identifier.value</v>
      </c>
    </row>
    <row r="49" spans="1:14" ht="107.25">
      <c r="A49" s="10" t="s">
        <v>1973</v>
      </c>
      <c r="B49" s="8">
        <v>41</v>
      </c>
      <c r="C49" s="7" t="s">
        <v>2077</v>
      </c>
      <c r="D49" s="7" t="s">
        <v>2078</v>
      </c>
      <c r="E49" s="8">
        <v>333</v>
      </c>
      <c r="F49" s="8">
        <v>342</v>
      </c>
      <c r="G49" s="8">
        <v>10</v>
      </c>
      <c r="H49" s="7" t="s">
        <v>2072</v>
      </c>
      <c r="I49" s="9" t="s">
        <v>2079</v>
      </c>
      <c r="J49" s="7">
        <v>48</v>
      </c>
      <c r="K49" s="7" t="str">
        <f t="shared" si="0"/>
        <v>CCLF1.CLM_ATNDG_PRVDR_NPI_NUM</v>
      </c>
      <c r="L49" s="7" t="str">
        <f>_xlfn.XLOOKUP("*'"&amp;K49&amp;"'*",Data_Dictionary[cclfMapping],Data_Dictionary[Field Name],,2)</f>
        <v>Attending Physician NPI</v>
      </c>
      <c r="M49" s="7" t="str">
        <f>_xlfn.XLOOKUP("*'"&amp;K49&amp;"'*",Data_Dictionary[cclfMapping],Data_Dictionary[Field Name],,2)</f>
        <v>Attending Physician NPI</v>
      </c>
      <c r="N49" s="7" t="str">
        <f>_xlfn.XLOOKUP("*'"&amp;K49&amp;"'*",Data_Dictionary[cclfMapping],Data_Dictionary[fhirPath],,2)</f>
        <v>ExplanationOfBenefit.careTeam.where(role.coding.where(code = 'attending').exists()).provider.identifier.value</v>
      </c>
    </row>
    <row r="50" spans="1:14" ht="107.25">
      <c r="A50" s="10" t="s">
        <v>1973</v>
      </c>
      <c r="B50" s="8">
        <v>42</v>
      </c>
      <c r="C50" s="7" t="s">
        <v>2080</v>
      </c>
      <c r="D50" s="7" t="s">
        <v>2081</v>
      </c>
      <c r="E50" s="8">
        <v>343</v>
      </c>
      <c r="F50" s="8">
        <v>352</v>
      </c>
      <c r="G50" s="8">
        <v>10</v>
      </c>
      <c r="H50" s="7" t="s">
        <v>2072</v>
      </c>
      <c r="I50" s="9" t="s">
        <v>2082</v>
      </c>
      <c r="J50" s="7">
        <v>49</v>
      </c>
      <c r="K50" s="7" t="str">
        <f t="shared" si="0"/>
        <v>CCLF1.CLM_OTHR_PRVDR_NPI_NUM</v>
      </c>
      <c r="L50" s="7" t="str">
        <f>_xlfn.XLOOKUP("*'"&amp;K50&amp;"'*",Data_Dictionary[cclfMapping],Data_Dictionary[Field Name],,2)</f>
        <v>Other Physician NPI</v>
      </c>
      <c r="M50" s="7" t="str">
        <f>_xlfn.XLOOKUP("*'"&amp;K50&amp;"'*",Data_Dictionary[cclfMapping],Data_Dictionary[Field Name],,2)</f>
        <v>Other Physician NPI</v>
      </c>
      <c r="N50" s="7" t="str">
        <f>_xlfn.XLOOKUP("*'"&amp;K50&amp;"'*",Data_Dictionary[cclfMapping],Data_Dictionary[fhirPath],,2)</f>
        <v>ExplanationOfBenefit.careTeam.where(role.coding.where(code = 'otheroperating').exists()).provider.identifier.value or ExplanationOfBenefit.careTeam.where(role.coding.where(code = 'supervisor').exists()).provider.identifier.value</v>
      </c>
    </row>
    <row r="51" spans="1:14" ht="36">
      <c r="A51" s="10" t="s">
        <v>1973</v>
      </c>
      <c r="B51" s="8">
        <v>43</v>
      </c>
      <c r="C51" s="7" t="s">
        <v>395</v>
      </c>
      <c r="D51" s="7" t="s">
        <v>392</v>
      </c>
      <c r="E51" s="8">
        <v>353</v>
      </c>
      <c r="F51" s="8">
        <v>392</v>
      </c>
      <c r="G51" s="8">
        <v>40</v>
      </c>
      <c r="H51" s="7" t="s">
        <v>2083</v>
      </c>
      <c r="I51" s="7" t="s">
        <v>2084</v>
      </c>
      <c r="J51" s="7">
        <v>50</v>
      </c>
      <c r="K51" s="7" t="str">
        <f t="shared" si="0"/>
        <v>CCLF1.CLM_CNTL_NUM</v>
      </c>
      <c r="L51" s="7" t="str">
        <f>_xlfn.XLOOKUP("*'"&amp;K51&amp;"'*",Data_Dictionary[cclfMapping],Data_Dictionary[Field Name],,2)</f>
        <v>Claim Control Number</v>
      </c>
      <c r="M51" s="7" t="str">
        <f>_xlfn.XLOOKUP("*'"&amp;K51&amp;"'*",Data_Dictionary[cclfMapping],Data_Dictionary[Field Name],,2)</f>
        <v>Claim Control Number</v>
      </c>
      <c r="N51" s="7" t="str">
        <f>_xlfn.XLOOKUP("*'"&amp;K51&amp;"'*",Data_Dictionary[cclfMapping],Data_Dictionary[fhirPath],,2)</f>
        <v>ExplanationOfBenefit.identifier.where(system = 'https://bluebutton.cms.gov/identifiers/CLM-CNTL-NUM').value</v>
      </c>
    </row>
    <row r="52" spans="1:14" ht="24">
      <c r="A52" s="10" t="s">
        <v>1973</v>
      </c>
      <c r="B52" s="8">
        <v>44</v>
      </c>
      <c r="C52" s="7" t="s">
        <v>2085</v>
      </c>
      <c r="D52" s="9" t="s">
        <v>2086</v>
      </c>
      <c r="E52" s="8">
        <v>393</v>
      </c>
      <c r="F52" s="8">
        <v>432</v>
      </c>
      <c r="G52" s="8">
        <v>40</v>
      </c>
      <c r="H52" s="7" t="s">
        <v>2083</v>
      </c>
      <c r="I52" s="7" t="s">
        <v>2087</v>
      </c>
      <c r="J52" s="7">
        <v>51</v>
      </c>
      <c r="K52" s="7" t="str">
        <f t="shared" si="0"/>
        <v>CCLF1.CLM_ORG_CNTL_NUM</v>
      </c>
      <c r="L52" s="7" t="str">
        <f>_xlfn.XLOOKUP("*'"&amp;K52&amp;"'*",Data_Dictionary[cclfMapping],Data_Dictionary[Field Name],,2)</f>
        <v>This field is the original identification value assigned.</v>
      </c>
      <c r="M52" s="7" t="str">
        <f>_xlfn.XLOOKUP("*'"&amp;K52&amp;"'*",Data_Dictionary[cclfMapping],Data_Dictionary[Field Name],,2)</f>
        <v>This field is the original identification value assigned.</v>
      </c>
      <c r="N52" s="7" t="str">
        <f>_xlfn.XLOOKUP("*'"&amp;K52&amp;"'*",Data_Dictionary[cclfMapping],Data_Dictionary[fhirPath],,2)</f>
        <v>ExplanationOfBenefit.related.where(relationship.coding.system = 'http://terminology.hl7.org/CodeSystem/ex-relatedclaimrelationship').reference.where(system='https://bluebutton.cms.gov/identifiers/CLM-CNTL-NUM').value</v>
      </c>
    </row>
    <row r="53" spans="1:14" ht="24">
      <c r="A53" s="10" t="s">
        <v>1973</v>
      </c>
      <c r="B53" s="8">
        <v>45</v>
      </c>
      <c r="C53" s="7" t="s">
        <v>983</v>
      </c>
      <c r="D53" s="7" t="s">
        <v>2088</v>
      </c>
      <c r="E53" s="8">
        <v>433</v>
      </c>
      <c r="F53" s="8">
        <v>437</v>
      </c>
      <c r="G53" s="8">
        <v>5</v>
      </c>
      <c r="H53" s="7" t="s">
        <v>2089</v>
      </c>
      <c r="I53" s="7" t="s">
        <v>2090</v>
      </c>
      <c r="J53" s="7">
        <v>52</v>
      </c>
      <c r="K53" s="7" t="str">
        <f t="shared" si="0"/>
        <v>CCLF1.CLM_CNTRCTR_NUM</v>
      </c>
      <c r="L53" s="7" t="str">
        <f>_xlfn.XLOOKUP("*'"&amp;K53&amp;"'*",Data_Dictionary[cclfMapping],Data_Dictionary[Field Name],,2)</f>
        <v>FI Number</v>
      </c>
      <c r="M53" s="7" t="str">
        <f>_xlfn.XLOOKUP("*'"&amp;K53&amp;"'*",Data_Dictionary[cclfMapping],Data_Dictionary[Field Name],,2)</f>
        <v>FI Number</v>
      </c>
      <c r="N53" s="7" t="str">
        <f>_xlfn.XLOOKUP("*'"&amp;K53&amp;"'*",Data_Dictionary[cclfMapping],Data_Dictionary[fhirPath],,2)</f>
        <v>ExplanationOfBenefit.supportingInfo.where(category.coding.where(system='https://bluebutton.cms.gov/fhir/CodeSystem/Supporting-Information').exists() and category.coding.where(code='CLM_CNTRCTR_NUM').exists()).code.coding.code</v>
      </c>
    </row>
    <row r="54" spans="1:14" ht="36">
      <c r="A54" s="7" t="s">
        <v>2091</v>
      </c>
      <c r="B54" s="8">
        <v>1</v>
      </c>
      <c r="C54" s="7" t="s">
        <v>1974</v>
      </c>
      <c r="D54" s="7" t="s">
        <v>1975</v>
      </c>
      <c r="E54" s="8">
        <v>1</v>
      </c>
      <c r="F54" s="8">
        <v>13</v>
      </c>
      <c r="G54" s="8">
        <v>13</v>
      </c>
      <c r="H54" s="7" t="s">
        <v>1976</v>
      </c>
      <c r="I54" s="9" t="s">
        <v>1977</v>
      </c>
      <c r="J54" s="7">
        <v>53</v>
      </c>
      <c r="K54" s="7" t="str">
        <f t="shared" si="0"/>
        <v>CCLF2.CUR_CLM_UNIQ_ID</v>
      </c>
      <c r="L54" s="7" t="str">
        <f>_xlfn.XLOOKUP("*'"&amp;K54&amp;"'*",Data_Dictionary[cclfMapping],Data_Dictionary[Field Name],,2)</f>
        <v>The claim unique ID is a unique ID for the claim within the source system.</v>
      </c>
      <c r="M54" s="7" t="str">
        <f>_xlfn.XLOOKUP("*'"&amp;K54&amp;"'*",Data_Dictionary[cclfMapping],Data_Dictionary[Field Name],,2)</f>
        <v>The claim unique ID is a unique ID for the claim within the source system.</v>
      </c>
      <c r="N54" s="7" t="str">
        <f>_xlfn.XLOOKUP("*'"&amp;K54&amp;"'*",Data_Dictionary[cclfMapping],Data_Dictionary[fhirPath],,2)</f>
        <v>ExplanationOfBenefit.identifier.where(type.coding.system = 'http://hl7.org/fhir/us/carin-bb/CodeSystem/C4BBIdentifierType' and type.coding.code = 'uc' ).value</v>
      </c>
    </row>
    <row r="55" spans="1:14" ht="12.75">
      <c r="A55" s="7" t="s">
        <v>2091</v>
      </c>
      <c r="B55" s="8">
        <v>2</v>
      </c>
      <c r="C55" s="7" t="s">
        <v>195</v>
      </c>
      <c r="D55" s="7" t="s">
        <v>2092</v>
      </c>
      <c r="E55" s="8">
        <v>14</v>
      </c>
      <c r="F55" s="8">
        <v>23</v>
      </c>
      <c r="G55" s="8">
        <v>10</v>
      </c>
      <c r="H55" s="7" t="s">
        <v>2093</v>
      </c>
      <c r="I55" s="7" t="s">
        <v>2094</v>
      </c>
      <c r="J55" s="7">
        <v>54</v>
      </c>
      <c r="K55" s="7" t="str">
        <f t="shared" si="0"/>
        <v>CCLF2.CLM_LINE_NUM</v>
      </c>
      <c r="L55" s="7" t="str">
        <f>_xlfn.XLOOKUP("*'"&amp;K55&amp;"'*",Data_Dictionary[cclfMapping],Data_Dictionary[Field Name],,2)</f>
        <v>Line Item Sequence Number</v>
      </c>
      <c r="M55" s="7" t="str">
        <f>_xlfn.XLOOKUP("*'"&amp;K55&amp;"'*",Data_Dictionary[cclfMapping],Data_Dictionary[Field Name],,2)</f>
        <v>Line Item Sequence Number</v>
      </c>
      <c r="N55" s="7" t="str">
        <f>_xlfn.XLOOKUP("*'"&amp;K55&amp;"'*",Data_Dictionary[cclfMapping],Data_Dictionary[fhirPath],,2)</f>
        <v>ExplanationOfBenefit.item.sequence</v>
      </c>
    </row>
    <row r="56" spans="1:14" ht="24">
      <c r="A56" s="7" t="s">
        <v>2091</v>
      </c>
      <c r="B56" s="8">
        <v>3</v>
      </c>
      <c r="C56" s="7" t="s">
        <v>1739</v>
      </c>
      <c r="D56" s="7" t="s">
        <v>1734</v>
      </c>
      <c r="E56" s="8">
        <v>24</v>
      </c>
      <c r="F56" s="8">
        <v>34</v>
      </c>
      <c r="G56" s="8">
        <v>11</v>
      </c>
      <c r="H56" s="7" t="s">
        <v>1982</v>
      </c>
      <c r="I56" s="9" t="s">
        <v>2095</v>
      </c>
      <c r="J56" s="7">
        <v>55</v>
      </c>
      <c r="K56" s="7" t="str">
        <f t="shared" si="0"/>
        <v>CCLF2.BENE_MBI_ID</v>
      </c>
      <c r="L56" s="7" t="str">
        <f>_xlfn.XLOOKUP("*'"&amp;K56&amp;"'*",Data_Dictionary[cclfMapping],Data_Dictionary[Field Name],,2)</f>
        <v>Medicare Beneficiary Identifier</v>
      </c>
      <c r="M56" s="7" t="str">
        <f>_xlfn.XLOOKUP("*'"&amp;K56&amp;"'*",Data_Dictionary[cclfMapping],Data_Dictionary[Field Name],,2)</f>
        <v>Medicare Beneficiary Identifier</v>
      </c>
      <c r="N56" s="7" t="str">
        <f>_xlfn.XLOOKUP("*'"&amp;K56&amp;"'*",Data_Dictionary[cclfMapping],Data_Dictionary[fhirPath],,2)</f>
        <v>Patient.identifier.where(system='http://hl7.org/fhir/sid/us-mbi').value</v>
      </c>
    </row>
    <row r="57" spans="1:14" ht="84">
      <c r="A57" s="7" t="s">
        <v>2091</v>
      </c>
      <c r="B57" s="8">
        <v>4</v>
      </c>
      <c r="C57" s="7" t="s">
        <v>1984</v>
      </c>
      <c r="D57" s="7" t="s">
        <v>1985</v>
      </c>
      <c r="E57" s="8">
        <v>35</v>
      </c>
      <c r="F57" s="8">
        <v>45</v>
      </c>
      <c r="G57" s="8">
        <v>11</v>
      </c>
      <c r="H57" s="7" t="s">
        <v>1982</v>
      </c>
      <c r="I57" s="9" t="s">
        <v>2096</v>
      </c>
      <c r="J57" s="7">
        <v>56</v>
      </c>
      <c r="K57" s="7" t="str">
        <f t="shared" si="0"/>
        <v>CCLF2.BENE_HIC_NUM</v>
      </c>
      <c r="L57" s="7" t="e">
        <f>_xlfn.XLOOKUP("*'"&amp;K57&amp;"'*",Data_Dictionary[cclfMapping],Data_Dictionary[Field Name],,2)</f>
        <v>#N/A</v>
      </c>
      <c r="M57" s="7" t="e">
        <f>_xlfn.XLOOKUP("*'"&amp;K57&amp;"'*",Data_Dictionary[cclfMapping],Data_Dictionary[Field Name],,2)</f>
        <v>#N/A</v>
      </c>
      <c r="N57" s="7" t="e">
        <f>_xlfn.XLOOKUP("*'"&amp;K57&amp;"'*",Data_Dictionary[cclfMapping],Data_Dictionary[fhirPath],,2)</f>
        <v>#N/A</v>
      </c>
    </row>
    <row r="58" spans="1:14" ht="118.5">
      <c r="A58" s="7" t="s">
        <v>2091</v>
      </c>
      <c r="B58" s="8">
        <v>5</v>
      </c>
      <c r="C58" s="7" t="s">
        <v>77</v>
      </c>
      <c r="D58" s="7" t="s">
        <v>73</v>
      </c>
      <c r="E58" s="8">
        <v>46</v>
      </c>
      <c r="F58" s="8">
        <v>47</v>
      </c>
      <c r="G58" s="8">
        <v>2</v>
      </c>
      <c r="H58" s="7" t="s">
        <v>1987</v>
      </c>
      <c r="I58" s="9" t="s">
        <v>2097</v>
      </c>
      <c r="J58" s="7">
        <v>57</v>
      </c>
      <c r="K58" s="7" t="str">
        <f t="shared" si="0"/>
        <v>CCLF2.CLM_TYPE_CD</v>
      </c>
      <c r="L58" s="7" t="str">
        <f>_xlfn.XLOOKUP("*'"&amp;K58&amp;"'*",Data_Dictionary[cclfMapping],Data_Dictionary[Field Name],,2)</f>
        <v>Claim Type Code</v>
      </c>
      <c r="M58" s="7" t="str">
        <f>_xlfn.XLOOKUP("*'"&amp;K58&amp;"'*",Data_Dictionary[cclfMapping],Data_Dictionary[Field Name],,2)</f>
        <v>Claim Type Code</v>
      </c>
      <c r="N58" s="7" t="str">
        <f>_xlfn.XLOOKUP("*'"&amp;K58&amp;"'*",Data_Dictionary[cclfMapping],Data_Dictionary[fhirPath],,2)</f>
        <v>ExplanationOfBenefit.type.coding.where(system = 'https://bluebutton.cms.gov/fhir/CodeSystem/CLM-TYPE-CD').code</v>
      </c>
    </row>
    <row r="59" spans="1:14" ht="24">
      <c r="A59" s="7" t="s">
        <v>2091</v>
      </c>
      <c r="B59" s="8">
        <v>6</v>
      </c>
      <c r="C59" s="7" t="s">
        <v>199</v>
      </c>
      <c r="D59" s="7" t="s">
        <v>2098</v>
      </c>
      <c r="E59" s="8">
        <v>48</v>
      </c>
      <c r="F59" s="8">
        <v>57</v>
      </c>
      <c r="G59" s="8">
        <v>10</v>
      </c>
      <c r="H59" s="7" t="s">
        <v>1989</v>
      </c>
      <c r="I59" s="9" t="s">
        <v>2099</v>
      </c>
      <c r="J59" s="7">
        <v>58</v>
      </c>
      <c r="K59" s="7" t="str">
        <f t="shared" si="0"/>
        <v>CCLF2.CLM_LINE_FROM_DT</v>
      </c>
      <c r="L59" s="7" t="str">
        <f>_xlfn.XLOOKUP("*'"&amp;K59&amp;"'*",Data_Dictionary[cclfMapping],Data_Dictionary[Field Name],,2)</f>
        <v>Line Item From Date</v>
      </c>
      <c r="M59" s="7" t="str">
        <f>_xlfn.XLOOKUP("*'"&amp;K59&amp;"'*",Data_Dictionary[cclfMapping],Data_Dictionary[Field Name],,2)</f>
        <v>Line Item From Date</v>
      </c>
      <c r="N59" s="7" t="str">
        <f>_xlfn.XLOOKUP("*'"&amp;K59&amp;"'*",Data_Dictionary[cclfMapping],Data_Dictionary[fhirPath],,2)</f>
        <v>ExplanationOfBenefit.item.serviced.start</v>
      </c>
    </row>
    <row r="60" spans="1:14" ht="24">
      <c r="A60" s="7" t="s">
        <v>2091</v>
      </c>
      <c r="B60" s="8">
        <v>7</v>
      </c>
      <c r="C60" s="7" t="s">
        <v>1197</v>
      </c>
      <c r="D60" s="7" t="s">
        <v>2100</v>
      </c>
      <c r="E60" s="8">
        <v>58</v>
      </c>
      <c r="F60" s="8">
        <v>67</v>
      </c>
      <c r="G60" s="8">
        <v>10</v>
      </c>
      <c r="H60" s="7" t="s">
        <v>1989</v>
      </c>
      <c r="I60" s="9" t="s">
        <v>2101</v>
      </c>
      <c r="J60" s="7">
        <v>59</v>
      </c>
      <c r="K60" s="7" t="str">
        <f t="shared" si="0"/>
        <v>CCLF2.CLM_LINE_THRU_DT</v>
      </c>
      <c r="L60" s="7" t="str">
        <f>_xlfn.XLOOKUP("*'"&amp;K60&amp;"'*",Data_Dictionary[cclfMapping],Data_Dictionary[Field Name],,2)</f>
        <v>Last Expense Date</v>
      </c>
      <c r="M60" s="7" t="str">
        <f>_xlfn.XLOOKUP("*'"&amp;K60&amp;"'*",Data_Dictionary[cclfMapping],Data_Dictionary[Field Name],,2)</f>
        <v>Last Expense Date</v>
      </c>
      <c r="N60" s="7" t="str">
        <f>_xlfn.XLOOKUP("*'"&amp;K60&amp;"'*",Data_Dictionary[cclfMapping],Data_Dictionary[fhirPath],,2)</f>
        <v>ExplanationOfBenefit.item.serviced.end</v>
      </c>
    </row>
    <row r="61" spans="1:14" ht="96">
      <c r="A61" s="7" t="s">
        <v>2091</v>
      </c>
      <c r="B61" s="8">
        <v>8</v>
      </c>
      <c r="C61" s="7" t="s">
        <v>2102</v>
      </c>
      <c r="D61" s="7" t="s">
        <v>2103</v>
      </c>
      <c r="E61" s="8">
        <v>68</v>
      </c>
      <c r="F61" s="8">
        <v>71</v>
      </c>
      <c r="G61" s="8">
        <v>4</v>
      </c>
      <c r="H61" s="7" t="s">
        <v>2017</v>
      </c>
      <c r="I61" s="11" t="s">
        <v>2104</v>
      </c>
      <c r="J61" s="7">
        <v>60</v>
      </c>
      <c r="K61" s="7" t="str">
        <f t="shared" si="0"/>
        <v>CCLF2.CLM_LINE_PROD_REV_CTR_CD</v>
      </c>
      <c r="L61" s="7" t="str">
        <f>_xlfn.XLOOKUP("*'"&amp;K61&amp;"'*",Data_Dictionary[cclfMapping],Data_Dictionary[Field Name],,2)</f>
        <v>Line Item Revenue Center Code</v>
      </c>
      <c r="M61" s="7" t="str">
        <f>_xlfn.XLOOKUP("*'"&amp;K61&amp;"'*",Data_Dictionary[cclfMapping],Data_Dictionary[Field Name],,2)</f>
        <v>Line Item Revenue Center Code</v>
      </c>
      <c r="N61" s="7" t="str">
        <f>_xlfn.XLOOKUP("*'"&amp;K61&amp;"'*",Data_Dictionary[cclfMapping],Data_Dictionary[fhirPath],,2)</f>
        <v>ExplanationOfBenefit.item.revenue.coding.where(system='https://bluebutton.cms.gov/fhir/CodeSystem/CLM-REV-CNTR-CD').code</v>
      </c>
    </row>
    <row r="62" spans="1:14" ht="24">
      <c r="A62" s="7" t="s">
        <v>2091</v>
      </c>
      <c r="B62" s="8">
        <v>9</v>
      </c>
      <c r="C62" s="7" t="s">
        <v>740</v>
      </c>
      <c r="D62" s="7" t="s">
        <v>2105</v>
      </c>
      <c r="E62" s="8">
        <v>72</v>
      </c>
      <c r="F62" s="8">
        <v>81</v>
      </c>
      <c r="G62" s="8">
        <v>10</v>
      </c>
      <c r="H62" s="7" t="s">
        <v>1989</v>
      </c>
      <c r="I62" s="7" t="s">
        <v>2106</v>
      </c>
      <c r="J62" s="7">
        <v>61</v>
      </c>
      <c r="K62" s="7" t="str">
        <f t="shared" si="0"/>
        <v>CCLF2.CLM_LINE_INSTNL_REV_CTR_DT</v>
      </c>
      <c r="L62" s="7" t="str">
        <f>_xlfn.XLOOKUP("*'"&amp;K62&amp;"'*",Data_Dictionary[cclfMapping],Data_Dictionary[Field Name],,2)</f>
        <v>Revenue Center Date</v>
      </c>
      <c r="M62" s="7" t="str">
        <f>_xlfn.XLOOKUP("*'"&amp;K62&amp;"'*",Data_Dictionary[cclfMapping],Data_Dictionary[Field Name],,2)</f>
        <v>Revenue Center Date</v>
      </c>
      <c r="N62" s="7" t="str">
        <f>_xlfn.XLOOKUP("*'"&amp;K62&amp;"'*",Data_Dictionary[cclfMapping],Data_Dictionary[fhirPath],,2)</f>
        <v>ExplanationOfBenefit.item.servicedDate</v>
      </c>
    </row>
    <row r="63" spans="1:14" ht="72">
      <c r="A63" s="7" t="s">
        <v>2091</v>
      </c>
      <c r="B63" s="8">
        <v>10</v>
      </c>
      <c r="C63" s="7" t="s">
        <v>580</v>
      </c>
      <c r="D63" s="9" t="s">
        <v>2107</v>
      </c>
      <c r="E63" s="8">
        <v>82</v>
      </c>
      <c r="F63" s="8">
        <v>86</v>
      </c>
      <c r="G63" s="8">
        <v>5</v>
      </c>
      <c r="H63" s="7" t="s">
        <v>2108</v>
      </c>
      <c r="I63" s="11" t="s">
        <v>2109</v>
      </c>
      <c r="J63" s="7">
        <v>62</v>
      </c>
      <c r="K63" s="7" t="str">
        <f t="shared" si="0"/>
        <v>CCLF2.CLM_LINE_HCPCS_CD</v>
      </c>
      <c r="L63" s="7" t="str">
        <f>_xlfn.XLOOKUP("*'"&amp;K63&amp;"'*",Data_Dictionary[cclfMapping],Data_Dictionary[Field Name],,2)</f>
        <v>Line Item HCPCS Code</v>
      </c>
      <c r="M63" s="7" t="str">
        <f>_xlfn.XLOOKUP("*'"&amp;K63&amp;"'*",Data_Dictionary[cclfMapping],Data_Dictionary[Field Name],,2)</f>
        <v>Line Item HCPCS Code</v>
      </c>
      <c r="N63" s="7" t="str">
        <f>_xlfn.XLOOKUP("*'"&amp;K63&amp;"'*",Data_Dictionary[cclfMapping],Data_Dictionary[fhirPath],,2)</f>
        <v>ExplanationOfBenefit.item.productOrService.where(coding.system='http://www.ama-assn.org/go/cpt' or coding.system='https://www.cms.gov/Medicare/Coding/HCPCSReleaseCodeSets' or coding.system='http://terminology.hl7.org/CodeSystem/data-absent-reason').coding.code</v>
      </c>
    </row>
    <row r="64" spans="1:14" ht="96">
      <c r="A64" s="7" t="s">
        <v>2091</v>
      </c>
      <c r="B64" s="8">
        <v>11</v>
      </c>
      <c r="C64" s="7" t="s">
        <v>2037</v>
      </c>
      <c r="D64" s="9" t="s">
        <v>2038</v>
      </c>
      <c r="E64" s="8">
        <v>87</v>
      </c>
      <c r="F64" s="8">
        <v>97</v>
      </c>
      <c r="G64" s="8">
        <v>11</v>
      </c>
      <c r="H64" s="7" t="s">
        <v>1982</v>
      </c>
      <c r="I64" s="9" t="s">
        <v>2110</v>
      </c>
      <c r="J64" s="7">
        <v>63</v>
      </c>
      <c r="K64" s="7" t="str">
        <f t="shared" si="0"/>
        <v>CCLF2.BENE_EQTBL_BIC_HICN_NUM</v>
      </c>
      <c r="L64" s="7" t="e">
        <f>_xlfn.XLOOKUP("*'"&amp;K64&amp;"'*",Data_Dictionary[cclfMapping],Data_Dictionary[Field Name],,2)</f>
        <v>#N/A</v>
      </c>
      <c r="M64" s="7" t="e">
        <f>_xlfn.XLOOKUP("*'"&amp;K64&amp;"'*",Data_Dictionary[cclfMapping],Data_Dictionary[Field Name],,2)</f>
        <v>#N/A</v>
      </c>
      <c r="N64" s="7" t="e">
        <f>_xlfn.XLOOKUP("*'"&amp;K64&amp;"'*",Data_Dictionary[cclfMapping],Data_Dictionary[fhirPath],,2)</f>
        <v>#N/A</v>
      </c>
    </row>
    <row r="65" spans="1:14" ht="48">
      <c r="A65" s="7" t="s">
        <v>2091</v>
      </c>
      <c r="B65" s="8">
        <v>12</v>
      </c>
      <c r="C65" s="7" t="s">
        <v>1978</v>
      </c>
      <c r="D65" s="9" t="s">
        <v>1979</v>
      </c>
      <c r="E65" s="8">
        <v>98</v>
      </c>
      <c r="F65" s="8">
        <v>103</v>
      </c>
      <c r="G65" s="8">
        <v>6</v>
      </c>
      <c r="H65" s="7" t="s">
        <v>2111</v>
      </c>
      <c r="I65" s="9" t="s">
        <v>2112</v>
      </c>
      <c r="J65" s="7">
        <v>64</v>
      </c>
      <c r="K65" s="7" t="str">
        <f t="shared" si="0"/>
        <v>CCLF2.PRVDR_OSCAR_NUM</v>
      </c>
      <c r="L65" s="7" t="str">
        <f>_xlfn.XLOOKUP("*'"&amp;K65&amp;"'*",Data_Dictionary[cclfMapping],Data_Dictionary[Field Name],,2)</f>
        <v>Provider Number (OSCAR/CCN)</v>
      </c>
      <c r="M65" s="7" t="str">
        <f>_xlfn.XLOOKUP("*'"&amp;K65&amp;"'*",Data_Dictionary[cclfMapping],Data_Dictionary[Field Name],,2)</f>
        <v>Provider Number (OSCAR/CCN)</v>
      </c>
      <c r="N65" s="7" t="str">
        <f>_xlfn.XLOOKUP("*'"&amp;K65&amp;"'*",Data_Dictionary[cclfMapping],Data_Dictionary[fhirPath],,2)</f>
        <v>ExplanationOfBenefit.contained.where(id = %root.provider.reference.substring(1)).identifier.where(system='http://terminology.hl7.org/NamingSystem/CCN').value</v>
      </c>
    </row>
    <row r="66" spans="1:14" ht="36">
      <c r="A66" s="7" t="s">
        <v>2091</v>
      </c>
      <c r="B66" s="8">
        <v>13</v>
      </c>
      <c r="C66" s="7" t="s">
        <v>87</v>
      </c>
      <c r="D66" s="7" t="s">
        <v>83</v>
      </c>
      <c r="E66" s="8">
        <v>104</v>
      </c>
      <c r="F66" s="8">
        <v>113</v>
      </c>
      <c r="G66" s="8">
        <v>10</v>
      </c>
      <c r="H66" s="7" t="s">
        <v>1989</v>
      </c>
      <c r="I66" s="9" t="s">
        <v>2113</v>
      </c>
      <c r="J66" s="7">
        <v>65</v>
      </c>
      <c r="K66" s="7" t="str">
        <f t="shared" si="0"/>
        <v>CCLF2.CLM_FROM_DT</v>
      </c>
      <c r="L66" s="7" t="str">
        <f>_xlfn.XLOOKUP("*'"&amp;K66&amp;"'*",Data_Dictionary[cclfMapping],Data_Dictionary[Field Name],,2)</f>
        <v>Claim From Date</v>
      </c>
      <c r="M66" s="7" t="str">
        <f>_xlfn.XLOOKUP("*'"&amp;K66&amp;"'*",Data_Dictionary[cclfMapping],Data_Dictionary[Field Name],,2)</f>
        <v>Claim From Date</v>
      </c>
      <c r="N66" s="7" t="str">
        <f>_xlfn.XLOOKUP("*'"&amp;K66&amp;"'*",Data_Dictionary[cclfMapping],Data_Dictionary[fhirPath],,2)</f>
        <v>ExplanationOfBenefit.billablePeriod.start</v>
      </c>
    </row>
    <row r="67" spans="1:14" ht="36">
      <c r="A67" s="7" t="s">
        <v>2091</v>
      </c>
      <c r="B67" s="8">
        <v>14</v>
      </c>
      <c r="C67" s="7" t="s">
        <v>91</v>
      </c>
      <c r="D67" s="7" t="s">
        <v>88</v>
      </c>
      <c r="E67" s="8">
        <v>114</v>
      </c>
      <c r="F67" s="8">
        <v>123</v>
      </c>
      <c r="G67" s="8">
        <v>10</v>
      </c>
      <c r="H67" s="7" t="s">
        <v>1989</v>
      </c>
      <c r="I67" s="9" t="s">
        <v>1991</v>
      </c>
      <c r="J67" s="7">
        <v>66</v>
      </c>
      <c r="K67" s="7" t="str">
        <f t="shared" si="0"/>
        <v>CCLF2.CLM_THRU_DT</v>
      </c>
      <c r="L67" s="7" t="str">
        <f>_xlfn.XLOOKUP("*'"&amp;K67&amp;"'*",Data_Dictionary[cclfMapping],Data_Dictionary[Field Name],,2)</f>
        <v>Claim Thru Date</v>
      </c>
      <c r="M67" s="7" t="str">
        <f>_xlfn.XLOOKUP("*'"&amp;K67&amp;"'*",Data_Dictionary[cclfMapping],Data_Dictionary[Field Name],,2)</f>
        <v>Claim Thru Date</v>
      </c>
      <c r="N67" s="7" t="str">
        <f>_xlfn.XLOOKUP("*'"&amp;K67&amp;"'*",Data_Dictionary[cclfMapping],Data_Dictionary[fhirPath],,2)</f>
        <v>ExplanationOfBenefit.billablePeriod.end</v>
      </c>
    </row>
    <row r="68" spans="1:14" ht="36">
      <c r="A68" s="7" t="s">
        <v>2091</v>
      </c>
      <c r="B68" s="8">
        <v>15</v>
      </c>
      <c r="C68" s="7" t="s">
        <v>603</v>
      </c>
      <c r="D68" s="7" t="s">
        <v>2114</v>
      </c>
      <c r="E68" s="8">
        <v>124</v>
      </c>
      <c r="F68" s="8">
        <v>147</v>
      </c>
      <c r="G68" s="8">
        <v>24</v>
      </c>
      <c r="H68" s="7" t="s">
        <v>2115</v>
      </c>
      <c r="I68" s="9" t="s">
        <v>2116</v>
      </c>
      <c r="J68" s="7">
        <v>67</v>
      </c>
      <c r="K68" s="7" t="str">
        <f t="shared" si="0"/>
        <v>CCLF2.CLM_LINE_SRVC_UNIT_QTY</v>
      </c>
      <c r="L68" s="7" t="str">
        <f>_xlfn.XLOOKUP("*'"&amp;K68&amp;"'*",Data_Dictionary[cclfMapping],Data_Dictionary[Field Name],,2)</f>
        <v>Line Item Service Unit Quantity</v>
      </c>
      <c r="M68" s="7" t="str">
        <f>_xlfn.XLOOKUP("*'"&amp;K68&amp;"'*",Data_Dictionary[cclfMapping],Data_Dictionary[Field Name],,2)</f>
        <v>Line Item Service Unit Quantity</v>
      </c>
      <c r="N68" s="7" t="str">
        <f>_xlfn.XLOOKUP("*'"&amp;K68&amp;"'*",Data_Dictionary[cclfMapping],Data_Dictionary[fhirPath],,2)</f>
        <v>ExplanationOfBenefit.item.quantity.value</v>
      </c>
    </row>
    <row r="69" spans="1:14" ht="24">
      <c r="A69" s="7" t="s">
        <v>2091</v>
      </c>
      <c r="B69" s="8">
        <v>16</v>
      </c>
      <c r="C69" s="7" t="s">
        <v>224</v>
      </c>
      <c r="D69" s="7" t="s">
        <v>221</v>
      </c>
      <c r="E69" s="8">
        <v>148</v>
      </c>
      <c r="F69" s="8">
        <v>164</v>
      </c>
      <c r="G69" s="8">
        <v>17</v>
      </c>
      <c r="H69" s="7" t="s">
        <v>2008</v>
      </c>
      <c r="I69" s="9" t="s">
        <v>2117</v>
      </c>
      <c r="J69" s="7">
        <v>68</v>
      </c>
      <c r="K69" s="7" t="str">
        <f t="shared" si="0"/>
        <v>CCLF2.CLM_LINE_CVRD_PD_AMT</v>
      </c>
      <c r="L69" s="7" t="str">
        <f>_xlfn.XLOOKUP("*'"&amp;K69&amp;"'*",Data_Dictionary[cclfMapping],Data_Dictionary[Field Name],,2)</f>
        <v>Claim Line Covered Paid Amount</v>
      </c>
      <c r="M69" s="7" t="str">
        <f>_xlfn.XLOOKUP("*'"&amp;K69&amp;"'*",Data_Dictionary[cclfMapping],Data_Dictionary[Field Name],,2)</f>
        <v>Claim Line Covered Paid Amount</v>
      </c>
      <c r="N69" s="7" t="str">
        <f>_xlfn.XLOOKUP("*'"&amp;K69&amp;"'*",Data_Dictionary[cclfMapping],Data_Dictionary[fhirPath],,2)</f>
        <v>ExplanationOfBenefit.item.adjudication.where(category.coding.where(system='https://bluebutton.cms.gov/fhir/CodeSystem/Adjudication') and category.coding.where(code='CLM_LINE_CVRD_PD_AMT')).amount.value</v>
      </c>
    </row>
    <row r="70" spans="1:14" ht="36">
      <c r="A70" s="7" t="s">
        <v>2091</v>
      </c>
      <c r="B70" s="8">
        <v>17</v>
      </c>
      <c r="C70" s="7" t="s">
        <v>624</v>
      </c>
      <c r="D70" s="9" t="s">
        <v>2118</v>
      </c>
      <c r="E70" s="8">
        <v>165</v>
      </c>
      <c r="F70" s="8">
        <v>166</v>
      </c>
      <c r="G70" s="8">
        <v>2</v>
      </c>
      <c r="H70" s="7" t="s">
        <v>2040</v>
      </c>
      <c r="I70" s="9" t="s">
        <v>2119</v>
      </c>
      <c r="J70" s="7">
        <v>69</v>
      </c>
      <c r="K70" s="7" t="str">
        <f t="shared" si="0"/>
        <v>CCLF2.HCPCS_1_MDFR_CD</v>
      </c>
      <c r="L70" s="7" t="str">
        <f>_xlfn.XLOOKUP("*'"&amp;K70&amp;"'*",Data_Dictionary[cclfMapping],Data_Dictionary[Field Name],,2)</f>
        <v>HCPCS Modifier Code 1</v>
      </c>
      <c r="M70" s="7" t="str">
        <f>_xlfn.XLOOKUP("*'"&amp;K70&amp;"'*",Data_Dictionary[cclfMapping],Data_Dictionary[Field Name],,2)</f>
        <v>HCPCS Modifier Code 1</v>
      </c>
      <c r="N70" s="7" t="str">
        <f>_xlfn.XLOOKUP("*'"&amp;K70&amp;"'*",Data_Dictionary[cclfMapping],Data_Dictionary[fhirPath],,2)</f>
        <v>ExplanationOfBenefit.item.modifier[0].coding.code</v>
      </c>
    </row>
    <row r="71" spans="1:14" ht="36">
      <c r="A71" s="7" t="s">
        <v>2091</v>
      </c>
      <c r="B71" s="8">
        <v>18</v>
      </c>
      <c r="C71" s="7" t="s">
        <v>631</v>
      </c>
      <c r="D71" s="9" t="s">
        <v>2120</v>
      </c>
      <c r="E71" s="8">
        <v>167</v>
      </c>
      <c r="F71" s="8">
        <v>168</v>
      </c>
      <c r="G71" s="8">
        <v>2</v>
      </c>
      <c r="H71" s="7" t="s">
        <v>2040</v>
      </c>
      <c r="I71" s="9" t="s">
        <v>2121</v>
      </c>
      <c r="J71" s="7">
        <v>70</v>
      </c>
      <c r="K71" s="7" t="str">
        <f t="shared" si="0"/>
        <v>CCLF2.HCPCS_2_MDFR_CD</v>
      </c>
      <c r="L71" s="7" t="str">
        <f>_xlfn.XLOOKUP("*'"&amp;K71&amp;"'*",Data_Dictionary[cclfMapping],Data_Dictionary[Field Name],,2)</f>
        <v>HCPCS Modifier Code 2</v>
      </c>
      <c r="M71" s="7" t="str">
        <f>_xlfn.XLOOKUP("*'"&amp;K71&amp;"'*",Data_Dictionary[cclfMapping],Data_Dictionary[Field Name],,2)</f>
        <v>HCPCS Modifier Code 2</v>
      </c>
      <c r="N71" s="7" t="str">
        <f>_xlfn.XLOOKUP("*'"&amp;K71&amp;"'*",Data_Dictionary[cclfMapping],Data_Dictionary[fhirPath],,2)</f>
        <v>ExplanationOfBenefit.item.modifier[1].coding.code</v>
      </c>
    </row>
    <row r="72" spans="1:14" ht="36">
      <c r="A72" s="7" t="s">
        <v>2091</v>
      </c>
      <c r="B72" s="8">
        <v>19</v>
      </c>
      <c r="C72" s="7" t="s">
        <v>637</v>
      </c>
      <c r="D72" s="9" t="s">
        <v>2122</v>
      </c>
      <c r="E72" s="8">
        <v>169</v>
      </c>
      <c r="F72" s="8">
        <v>170</v>
      </c>
      <c r="G72" s="8">
        <v>2</v>
      </c>
      <c r="H72" s="7" t="s">
        <v>2040</v>
      </c>
      <c r="I72" s="9" t="s">
        <v>2123</v>
      </c>
      <c r="J72" s="7">
        <v>71</v>
      </c>
      <c r="K72" s="7" t="str">
        <f t="shared" si="0"/>
        <v>CCLF2.HCPCS_3_MDFR_CD</v>
      </c>
      <c r="L72" s="7" t="str">
        <f>_xlfn.XLOOKUP("*'"&amp;K72&amp;"'*",Data_Dictionary[cclfMapping],Data_Dictionary[Field Name],,2)</f>
        <v>HCPCS Modifier Code 3</v>
      </c>
      <c r="M72" s="7" t="str">
        <f>_xlfn.XLOOKUP("*'"&amp;K72&amp;"'*",Data_Dictionary[cclfMapping],Data_Dictionary[Field Name],,2)</f>
        <v>HCPCS Modifier Code 3</v>
      </c>
      <c r="N72" s="7" t="str">
        <f>_xlfn.XLOOKUP("*'"&amp;K72&amp;"'*",Data_Dictionary[cclfMapping],Data_Dictionary[fhirPath],,2)</f>
        <v>ExplanationOfBenefit.item.modifier[2].coding.code</v>
      </c>
    </row>
    <row r="73" spans="1:14" ht="36">
      <c r="A73" s="7" t="s">
        <v>2091</v>
      </c>
      <c r="B73" s="8">
        <v>20</v>
      </c>
      <c r="C73" s="7" t="s">
        <v>643</v>
      </c>
      <c r="D73" s="9" t="s">
        <v>2124</v>
      </c>
      <c r="E73" s="8">
        <v>171</v>
      </c>
      <c r="F73" s="8">
        <v>172</v>
      </c>
      <c r="G73" s="8">
        <v>2</v>
      </c>
      <c r="H73" s="7" t="s">
        <v>2040</v>
      </c>
      <c r="I73" s="9" t="s">
        <v>2125</v>
      </c>
      <c r="J73" s="7">
        <v>72</v>
      </c>
      <c r="K73" s="7" t="str">
        <f t="shared" si="0"/>
        <v>CCLF2.HCPCS_4_MDFR_CD</v>
      </c>
      <c r="L73" s="7" t="str">
        <f>_xlfn.XLOOKUP("*'"&amp;K73&amp;"'*",Data_Dictionary[cclfMapping],Data_Dictionary[Field Name],,2)</f>
        <v>HCPCS Modifier Code 4</v>
      </c>
      <c r="M73" s="7" t="str">
        <f>_xlfn.XLOOKUP("*'"&amp;K73&amp;"'*",Data_Dictionary[cclfMapping],Data_Dictionary[Field Name],,2)</f>
        <v>HCPCS Modifier Code 4</v>
      </c>
      <c r="N73" s="7" t="str">
        <f>_xlfn.XLOOKUP("*'"&amp;K73&amp;"'*",Data_Dictionary[cclfMapping],Data_Dictionary[fhirPath],,2)</f>
        <v>ExplanationOfBenefit.item.modifier[3].coding.code</v>
      </c>
    </row>
    <row r="74" spans="1:14" ht="36">
      <c r="A74" s="7" t="s">
        <v>2091</v>
      </c>
      <c r="B74" s="8">
        <v>21</v>
      </c>
      <c r="C74" s="7" t="s">
        <v>649</v>
      </c>
      <c r="D74" s="9" t="s">
        <v>2126</v>
      </c>
      <c r="E74" s="8">
        <v>173</v>
      </c>
      <c r="F74" s="8">
        <v>174</v>
      </c>
      <c r="G74" s="8">
        <v>2</v>
      </c>
      <c r="H74" s="7" t="s">
        <v>2040</v>
      </c>
      <c r="I74" s="9" t="s">
        <v>2127</v>
      </c>
      <c r="J74" s="7">
        <v>73</v>
      </c>
      <c r="K74" s="7" t="str">
        <f t="shared" si="0"/>
        <v>CCLF2.HCPCS_5_MDFR_CD</v>
      </c>
      <c r="L74" s="7" t="str">
        <f>_xlfn.XLOOKUP("*'"&amp;K74&amp;"'*",Data_Dictionary[cclfMapping],Data_Dictionary[Field Name],,2)</f>
        <v>HCPCS Modifier Code 5</v>
      </c>
      <c r="M74" s="7" t="str">
        <f>_xlfn.XLOOKUP("*'"&amp;K74&amp;"'*",Data_Dictionary[cclfMapping],Data_Dictionary[Field Name],,2)</f>
        <v>HCPCS Modifier Code 5</v>
      </c>
      <c r="N74" s="7" t="str">
        <f>_xlfn.XLOOKUP("*'"&amp;K74&amp;"'*",Data_Dictionary[cclfMapping],Data_Dictionary[fhirPath],,2)</f>
        <v>ExplanationOfBenefit.item.modifier[4].coding.code</v>
      </c>
    </row>
    <row r="75" spans="1:14" ht="24">
      <c r="A75" s="7" t="s">
        <v>2091</v>
      </c>
      <c r="B75" s="8">
        <v>22</v>
      </c>
      <c r="C75" s="7" t="s">
        <v>588</v>
      </c>
      <c r="D75" s="9" t="s">
        <v>2128</v>
      </c>
      <c r="E75" s="8">
        <v>175</v>
      </c>
      <c r="F75" s="8">
        <v>179</v>
      </c>
      <c r="G75" s="8">
        <v>5</v>
      </c>
      <c r="H75" s="7" t="s">
        <v>2129</v>
      </c>
      <c r="I75" s="7" t="s">
        <v>2130</v>
      </c>
      <c r="J75" s="7">
        <v>74</v>
      </c>
      <c r="K75" s="7" t="str">
        <f t="shared" si="0"/>
        <v>CCLF2.CLM_REV_APC_HIPPS_CD</v>
      </c>
      <c r="L75" s="7" t="str">
        <f>_xlfn.XLOOKUP("*'"&amp;K75&amp;"'*",Data_Dictionary[cclfMapping],Data_Dictionary[Field Name],,2)</f>
        <v>Line Item APC / HIPPS Code</v>
      </c>
      <c r="M75" s="7" t="str">
        <f>_xlfn.XLOOKUP("*'"&amp;K75&amp;"'*",Data_Dictionary[cclfMapping],Data_Dictionary[Field Name],,2)</f>
        <v>Line Item APC / HIPPS Code</v>
      </c>
      <c r="N75" s="7" t="str">
        <f>_xlfn.XLOOKUP("*'"&amp;K75&amp;"'*",Data_Dictionary[cclfMapping],Data_Dictionary[fhirPath],,2)</f>
        <v>ExplanationOfBenefit.item.productOrService.coding.where(system='https://www.cms.gov/Medicare/Medicare-Fee-for-Service-Payment/ProspMedicareFeeSvcPmtGen/HIPPSCodes').code</v>
      </c>
    </row>
    <row r="76" spans="1:14" ht="142.5">
      <c r="A76" s="7" t="s">
        <v>2091</v>
      </c>
      <c r="B76" s="8">
        <v>23</v>
      </c>
      <c r="C76" s="7" t="s">
        <v>2131</v>
      </c>
      <c r="D76" s="9" t="s">
        <v>2132</v>
      </c>
      <c r="E76" s="8">
        <v>180</v>
      </c>
      <c r="F76" s="8">
        <v>199</v>
      </c>
      <c r="G76" s="8">
        <v>20</v>
      </c>
      <c r="H76" s="7" t="s">
        <v>1967</v>
      </c>
      <c r="I76" s="9" t="s">
        <v>2133</v>
      </c>
      <c r="J76" s="7">
        <v>75</v>
      </c>
      <c r="K76" s="7" t="str">
        <f t="shared" si="0"/>
        <v>CCLF2.CLM_FAC_PRVDR_OSCAR_NUM</v>
      </c>
      <c r="L76" s="7" t="str">
        <f>_xlfn.XLOOKUP("*'"&amp;K76&amp;"'*",Data_Dictionary[cclfMapping],Data_Dictionary[Field Name],,2)</f>
        <v>Provider Number (OSCAR/CCN)</v>
      </c>
      <c r="M76" s="7" t="str">
        <f>_xlfn.XLOOKUP("*'"&amp;K76&amp;"'*",Data_Dictionary[cclfMapping],Data_Dictionary[Field Name],,2)</f>
        <v>Provider Number (OSCAR/CCN)</v>
      </c>
      <c r="N76" s="7" t="str">
        <f>_xlfn.XLOOKUP("*'"&amp;K76&amp;"'*",Data_Dictionary[cclfMapping],Data_Dictionary[fhirPath],,2)</f>
        <v>ExplanationOfBenefit.contained.where(id = %root.provider.reference.substring(1)).identifier.where(system='http://terminology.hl7.org/NamingSystem/CCN').value</v>
      </c>
    </row>
    <row r="77" spans="1:14" ht="36">
      <c r="A77" s="7" t="s">
        <v>2134</v>
      </c>
      <c r="B77" s="8">
        <v>1</v>
      </c>
      <c r="C77" s="7" t="s">
        <v>1974</v>
      </c>
      <c r="D77" s="7" t="s">
        <v>1975</v>
      </c>
      <c r="E77" s="8">
        <v>1</v>
      </c>
      <c r="F77" s="8">
        <v>13</v>
      </c>
      <c r="G77" s="8">
        <v>13</v>
      </c>
      <c r="H77" s="7" t="s">
        <v>1976</v>
      </c>
      <c r="I77" s="9" t="s">
        <v>1977</v>
      </c>
      <c r="J77" s="7">
        <v>76</v>
      </c>
      <c r="K77" s="7" t="str">
        <f t="shared" si="0"/>
        <v>CCLF3.CUR_CLM_UNIQ_ID</v>
      </c>
      <c r="L77" s="7" t="str">
        <f>_xlfn.XLOOKUP("*'"&amp;K77&amp;"'*",Data_Dictionary[cclfMapping],Data_Dictionary[Field Name],,2)</f>
        <v>The claim unique ID is a unique ID for the claim within the source system.</v>
      </c>
      <c r="M77" s="7" t="str">
        <f>_xlfn.XLOOKUP("*'"&amp;K77&amp;"'*",Data_Dictionary[cclfMapping],Data_Dictionary[Field Name],,2)</f>
        <v>The claim unique ID is a unique ID for the claim within the source system.</v>
      </c>
      <c r="N77" s="7" t="str">
        <f>_xlfn.XLOOKUP("*'"&amp;K77&amp;"'*",Data_Dictionary[cclfMapping],Data_Dictionary[fhirPath],,2)</f>
        <v>ExplanationOfBenefit.identifier.where(type.coding.system = 'http://hl7.org/fhir/us/carin-bb/CodeSystem/C4BBIdentifierType' and type.coding.code = 'uc' ).value</v>
      </c>
    </row>
    <row r="78" spans="1:14" ht="24">
      <c r="A78" s="7" t="s">
        <v>2134</v>
      </c>
      <c r="B78" s="8">
        <v>2</v>
      </c>
      <c r="C78" s="7" t="s">
        <v>1739</v>
      </c>
      <c r="D78" s="7" t="s">
        <v>1734</v>
      </c>
      <c r="E78" s="8">
        <v>14</v>
      </c>
      <c r="F78" s="8">
        <v>24</v>
      </c>
      <c r="G78" s="8">
        <v>11</v>
      </c>
      <c r="H78" s="7" t="s">
        <v>1982</v>
      </c>
      <c r="I78" s="9" t="s">
        <v>2095</v>
      </c>
      <c r="J78" s="7">
        <v>77</v>
      </c>
      <c r="K78" s="7" t="str">
        <f t="shared" si="0"/>
        <v>CCLF3.BENE_MBI_ID</v>
      </c>
      <c r="L78" s="7" t="str">
        <f>_xlfn.XLOOKUP("*'"&amp;K78&amp;"'*",Data_Dictionary[cclfMapping],Data_Dictionary[Field Name],,2)</f>
        <v>Medicare Beneficiary Identifier</v>
      </c>
      <c r="M78" s="7" t="str">
        <f>_xlfn.XLOOKUP("*'"&amp;K78&amp;"'*",Data_Dictionary[cclfMapping],Data_Dictionary[Field Name],,2)</f>
        <v>Medicare Beneficiary Identifier</v>
      </c>
      <c r="N78" s="7" t="str">
        <f>_xlfn.XLOOKUP("*'"&amp;K78&amp;"'*",Data_Dictionary[cclfMapping],Data_Dictionary[fhirPath],,2)</f>
        <v>Patient.identifier.where(system='http://hl7.org/fhir/sid/us-mbi').value</v>
      </c>
    </row>
    <row r="79" spans="1:14" ht="84">
      <c r="A79" s="7" t="s">
        <v>2134</v>
      </c>
      <c r="B79" s="8">
        <v>3</v>
      </c>
      <c r="C79" s="7" t="s">
        <v>1984</v>
      </c>
      <c r="D79" s="7" t="s">
        <v>1985</v>
      </c>
      <c r="E79" s="8">
        <v>25</v>
      </c>
      <c r="F79" s="8">
        <v>35</v>
      </c>
      <c r="G79" s="8">
        <v>11</v>
      </c>
      <c r="H79" s="7" t="s">
        <v>1982</v>
      </c>
      <c r="I79" s="9" t="s">
        <v>2135</v>
      </c>
      <c r="J79" s="7">
        <v>78</v>
      </c>
      <c r="K79" s="7" t="str">
        <f t="shared" si="0"/>
        <v>CCLF3.BENE_HIC_NUM</v>
      </c>
      <c r="L79" s="7" t="e">
        <f>_xlfn.XLOOKUP("*'"&amp;K79&amp;"'*",Data_Dictionary[cclfMapping],Data_Dictionary[Field Name],,2)</f>
        <v>#N/A</v>
      </c>
      <c r="M79" s="7" t="e">
        <f>_xlfn.XLOOKUP("*'"&amp;K79&amp;"'*",Data_Dictionary[cclfMapping],Data_Dictionary[Field Name],,2)</f>
        <v>#N/A</v>
      </c>
      <c r="N79" s="7" t="e">
        <f>_xlfn.XLOOKUP("*'"&amp;K79&amp;"'*",Data_Dictionary[cclfMapping],Data_Dictionary[fhirPath],,2)</f>
        <v>#N/A</v>
      </c>
    </row>
    <row r="80" spans="1:14" ht="118.5">
      <c r="A80" s="7" t="s">
        <v>2134</v>
      </c>
      <c r="B80" s="8">
        <v>4</v>
      </c>
      <c r="C80" s="7" t="s">
        <v>77</v>
      </c>
      <c r="D80" s="7" t="s">
        <v>73</v>
      </c>
      <c r="E80" s="8">
        <v>36</v>
      </c>
      <c r="F80" s="8">
        <v>37</v>
      </c>
      <c r="G80" s="8">
        <v>2</v>
      </c>
      <c r="H80" s="7" t="s">
        <v>1987</v>
      </c>
      <c r="I80" s="9" t="s">
        <v>2136</v>
      </c>
      <c r="J80" s="7">
        <v>79</v>
      </c>
      <c r="K80" s="7" t="str">
        <f t="shared" si="0"/>
        <v>CCLF3.CLM_TYPE_CD</v>
      </c>
      <c r="L80" s="7" t="str">
        <f>_xlfn.XLOOKUP("*'"&amp;K80&amp;"'*",Data_Dictionary[cclfMapping],Data_Dictionary[Field Name],,2)</f>
        <v>Claim Type Code</v>
      </c>
      <c r="M80" s="7" t="str">
        <f>_xlfn.XLOOKUP("*'"&amp;K80&amp;"'*",Data_Dictionary[cclfMapping],Data_Dictionary[Field Name],,2)</f>
        <v>Claim Type Code</v>
      </c>
      <c r="N80" s="7" t="str">
        <f>_xlfn.XLOOKUP("*'"&amp;K80&amp;"'*",Data_Dictionary[cclfMapping],Data_Dictionary[fhirPath],,2)</f>
        <v>ExplanationOfBenefit.type.coding.where(system = 'https://bluebutton.cms.gov/fhir/CodeSystem/CLM-TYPE-CD').code</v>
      </c>
    </row>
    <row r="81" spans="1:14" ht="24">
      <c r="A81" s="7" t="s">
        <v>2134</v>
      </c>
      <c r="B81" s="8">
        <v>5</v>
      </c>
      <c r="C81" s="7" t="s">
        <v>2137</v>
      </c>
      <c r="D81" s="7" t="s">
        <v>2138</v>
      </c>
      <c r="E81" s="8">
        <v>38</v>
      </c>
      <c r="F81" s="8">
        <v>39</v>
      </c>
      <c r="G81" s="8">
        <v>2</v>
      </c>
      <c r="H81" s="7" t="s">
        <v>2139</v>
      </c>
      <c r="I81" s="7" t="s">
        <v>2140</v>
      </c>
      <c r="J81" s="7">
        <v>80</v>
      </c>
      <c r="K81" s="7" t="str">
        <f t="shared" si="0"/>
        <v>CCLF3.CLM_VAL_SQNC_NUM</v>
      </c>
      <c r="L81" s="7" t="e">
        <f>_xlfn.XLOOKUP("*'"&amp;K81&amp;"'*",Data_Dictionary[cclfMapping],Data_Dictionary[Field Name],,2)</f>
        <v>#N/A</v>
      </c>
      <c r="M81" s="7" t="e">
        <f>_xlfn.XLOOKUP("*'"&amp;K81&amp;"'*",Data_Dictionary[cclfMapping],Data_Dictionary[Field Name],,2)</f>
        <v>#N/A</v>
      </c>
      <c r="N81" s="7" t="e">
        <f>_xlfn.XLOOKUP("*'"&amp;K81&amp;"'*",Data_Dictionary[cclfMapping],Data_Dictionary[fhirPath],,2)</f>
        <v>#N/A</v>
      </c>
    </row>
    <row r="82" spans="1:14" ht="24">
      <c r="A82" s="7" t="s">
        <v>2134</v>
      </c>
      <c r="B82" s="8">
        <v>6</v>
      </c>
      <c r="C82" s="7" t="s">
        <v>553</v>
      </c>
      <c r="D82" s="7" t="s">
        <v>2141</v>
      </c>
      <c r="E82" s="8">
        <v>40</v>
      </c>
      <c r="F82" s="8">
        <v>46</v>
      </c>
      <c r="G82" s="8">
        <v>7</v>
      </c>
      <c r="H82" s="7" t="s">
        <v>1999</v>
      </c>
      <c r="I82" s="9" t="s">
        <v>2142</v>
      </c>
      <c r="J82" s="7">
        <v>81</v>
      </c>
      <c r="K82" s="7" t="str">
        <f t="shared" si="0"/>
        <v>CCLF3.CLM_PRCDR_CD</v>
      </c>
      <c r="L82" s="7" t="str">
        <f>_xlfn.XLOOKUP("*'"&amp;K82&amp;"'*",Data_Dictionary[cclfMapping],Data_Dictionary[Field Name],,2)</f>
        <v>Claim Procedure Code</v>
      </c>
      <c r="M82" s="7" t="str">
        <f>_xlfn.XLOOKUP("*'"&amp;K82&amp;"'*",Data_Dictionary[cclfMapping],Data_Dictionary[Field Name],,2)</f>
        <v>Claim Procedure Code</v>
      </c>
      <c r="N82" s="7" t="str">
        <f>_xlfn.XLOOKUP("*'"&amp;K82&amp;"'*",Data_Dictionary[cclfMapping],Data_Dictionary[fhirPath],,2)</f>
        <v>ExplanationOfBenefit.procedure.procedure.coding.code</v>
      </c>
    </row>
    <row r="83" spans="1:14" ht="24">
      <c r="A83" s="7" t="s">
        <v>2134</v>
      </c>
      <c r="B83" s="8">
        <v>7</v>
      </c>
      <c r="C83" s="7" t="s">
        <v>546</v>
      </c>
      <c r="D83" s="7" t="s">
        <v>541</v>
      </c>
      <c r="E83" s="8">
        <v>47</v>
      </c>
      <c r="F83" s="8">
        <v>56</v>
      </c>
      <c r="G83" s="8">
        <v>10</v>
      </c>
      <c r="H83" s="7" t="s">
        <v>1989</v>
      </c>
      <c r="I83" s="9" t="s">
        <v>2143</v>
      </c>
      <c r="J83" s="7">
        <v>82</v>
      </c>
      <c r="K83" s="7" t="str">
        <f t="shared" si="0"/>
        <v>CCLF3.CLM_PRCDR_PRFRM_DT</v>
      </c>
      <c r="L83" s="7" t="str">
        <f>_xlfn.XLOOKUP("*'"&amp;K83&amp;"'*",Data_Dictionary[cclfMapping],Data_Dictionary[Field Name],,2)</f>
        <v>Procedure Performed Date</v>
      </c>
      <c r="M83" s="7" t="str">
        <f>_xlfn.XLOOKUP("*'"&amp;K83&amp;"'*",Data_Dictionary[cclfMapping],Data_Dictionary[Field Name],,2)</f>
        <v>Procedure Performed Date</v>
      </c>
      <c r="N83" s="7" t="str">
        <f>_xlfn.XLOOKUP("*'"&amp;K83&amp;"'*",Data_Dictionary[cclfMapping],Data_Dictionary[fhirPath],,2)</f>
        <v>ExplanationOfBenefit.procedure.date</v>
      </c>
    </row>
    <row r="84" spans="1:14" ht="96">
      <c r="A84" s="7" t="s">
        <v>2134</v>
      </c>
      <c r="B84" s="8">
        <v>8</v>
      </c>
      <c r="C84" s="7" t="s">
        <v>2037</v>
      </c>
      <c r="D84" s="9" t="s">
        <v>2038</v>
      </c>
      <c r="E84" s="8">
        <v>57</v>
      </c>
      <c r="F84" s="8">
        <v>67</v>
      </c>
      <c r="G84" s="8">
        <v>11</v>
      </c>
      <c r="H84" s="7" t="s">
        <v>1982</v>
      </c>
      <c r="I84" s="9" t="s">
        <v>2144</v>
      </c>
      <c r="J84" s="7">
        <v>83</v>
      </c>
      <c r="K84" s="7" t="str">
        <f t="shared" si="0"/>
        <v>CCLF3.BENE_EQTBL_BIC_HICN_NUM</v>
      </c>
      <c r="L84" s="7" t="e">
        <f>_xlfn.XLOOKUP("*'"&amp;K84&amp;"'*",Data_Dictionary[cclfMapping],Data_Dictionary[Field Name],,2)</f>
        <v>#N/A</v>
      </c>
      <c r="M84" s="7" t="e">
        <f>_xlfn.XLOOKUP("*'"&amp;K84&amp;"'*",Data_Dictionary[cclfMapping],Data_Dictionary[Field Name],,2)</f>
        <v>#N/A</v>
      </c>
      <c r="N84" s="7" t="e">
        <f>_xlfn.XLOOKUP("*'"&amp;K84&amp;"'*",Data_Dictionary[cclfMapping],Data_Dictionary[fhirPath],,2)</f>
        <v>#N/A</v>
      </c>
    </row>
    <row r="85" spans="1:14" ht="48">
      <c r="A85" s="7" t="s">
        <v>2134</v>
      </c>
      <c r="B85" s="8">
        <v>9</v>
      </c>
      <c r="C85" s="7" t="s">
        <v>1978</v>
      </c>
      <c r="D85" s="9" t="s">
        <v>1979</v>
      </c>
      <c r="E85" s="8">
        <v>68</v>
      </c>
      <c r="F85" s="8">
        <v>73</v>
      </c>
      <c r="G85" s="8">
        <v>6</v>
      </c>
      <c r="H85" s="7" t="s">
        <v>2111</v>
      </c>
      <c r="I85" s="9" t="s">
        <v>2145</v>
      </c>
      <c r="J85" s="7">
        <v>84</v>
      </c>
      <c r="K85" s="7" t="str">
        <f t="shared" si="0"/>
        <v>CCLF3.PRVDR_OSCAR_NUM</v>
      </c>
      <c r="L85" s="7" t="str">
        <f>_xlfn.XLOOKUP("*'"&amp;K85&amp;"'*",Data_Dictionary[cclfMapping],Data_Dictionary[Field Name],,2)</f>
        <v>Provider Number (OSCAR/CCN)</v>
      </c>
      <c r="M85" s="7" t="str">
        <f>_xlfn.XLOOKUP("*'"&amp;K85&amp;"'*",Data_Dictionary[cclfMapping],Data_Dictionary[Field Name],,2)</f>
        <v>Provider Number (OSCAR/CCN)</v>
      </c>
      <c r="N85" s="7" t="str">
        <f>_xlfn.XLOOKUP("*'"&amp;K85&amp;"'*",Data_Dictionary[cclfMapping],Data_Dictionary[fhirPath],,2)</f>
        <v>ExplanationOfBenefit.contained.where(id = %root.provider.reference.substring(1)).identifier.where(system='http://terminology.hl7.org/NamingSystem/CCN').value</v>
      </c>
    </row>
    <row r="86" spans="1:14" ht="36">
      <c r="A86" s="7" t="s">
        <v>2134</v>
      </c>
      <c r="B86" s="8">
        <v>10</v>
      </c>
      <c r="C86" s="7" t="s">
        <v>87</v>
      </c>
      <c r="D86" s="7" t="s">
        <v>83</v>
      </c>
      <c r="E86" s="8">
        <v>74</v>
      </c>
      <c r="F86" s="8">
        <v>83</v>
      </c>
      <c r="G86" s="8">
        <v>10</v>
      </c>
      <c r="H86" s="7" t="s">
        <v>1989</v>
      </c>
      <c r="I86" s="9" t="s">
        <v>1990</v>
      </c>
      <c r="J86" s="7">
        <v>85</v>
      </c>
      <c r="K86" s="7" t="str">
        <f t="shared" si="0"/>
        <v>CCLF3.CLM_FROM_DT</v>
      </c>
      <c r="L86" s="7" t="str">
        <f>_xlfn.XLOOKUP("*'"&amp;K86&amp;"'*",Data_Dictionary[cclfMapping],Data_Dictionary[Field Name],,2)</f>
        <v>Claim From Date</v>
      </c>
      <c r="M86" s="7" t="str">
        <f>_xlfn.XLOOKUP("*'"&amp;K86&amp;"'*",Data_Dictionary[cclfMapping],Data_Dictionary[Field Name],,2)</f>
        <v>Claim From Date</v>
      </c>
      <c r="N86" s="7" t="str">
        <f>_xlfn.XLOOKUP("*'"&amp;K86&amp;"'*",Data_Dictionary[cclfMapping],Data_Dictionary[fhirPath],,2)</f>
        <v>ExplanationOfBenefit.billablePeriod.start</v>
      </c>
    </row>
    <row r="87" spans="1:14" ht="36">
      <c r="A87" s="7" t="s">
        <v>2134</v>
      </c>
      <c r="B87" s="8">
        <v>11</v>
      </c>
      <c r="C87" s="7" t="s">
        <v>91</v>
      </c>
      <c r="D87" s="7" t="s">
        <v>88</v>
      </c>
      <c r="E87" s="8">
        <v>84</v>
      </c>
      <c r="F87" s="8">
        <v>93</v>
      </c>
      <c r="G87" s="8">
        <v>10</v>
      </c>
      <c r="H87" s="7" t="s">
        <v>1989</v>
      </c>
      <c r="I87" s="9" t="s">
        <v>1991</v>
      </c>
      <c r="J87" s="7">
        <v>86</v>
      </c>
      <c r="K87" s="7" t="str">
        <f t="shared" si="0"/>
        <v>CCLF3.CLM_THRU_DT</v>
      </c>
      <c r="L87" s="7" t="str">
        <f>_xlfn.XLOOKUP("*'"&amp;K87&amp;"'*",Data_Dictionary[cclfMapping],Data_Dictionary[Field Name],,2)</f>
        <v>Claim Thru Date</v>
      </c>
      <c r="M87" s="7" t="str">
        <f>_xlfn.XLOOKUP("*'"&amp;K87&amp;"'*",Data_Dictionary[cclfMapping],Data_Dictionary[Field Name],,2)</f>
        <v>Claim Thru Date</v>
      </c>
      <c r="N87" s="7" t="str">
        <f>_xlfn.XLOOKUP("*'"&amp;K87&amp;"'*",Data_Dictionary[cclfMapping],Data_Dictionary[fhirPath],,2)</f>
        <v>ExplanationOfBenefit.billablePeriod.end</v>
      </c>
    </row>
    <row r="88" spans="1:14" ht="36">
      <c r="A88" s="7" t="s">
        <v>2134</v>
      </c>
      <c r="B88" s="8">
        <v>12</v>
      </c>
      <c r="C88" s="7" t="s">
        <v>2047</v>
      </c>
      <c r="D88" s="7" t="s">
        <v>2048</v>
      </c>
      <c r="E88" s="8">
        <v>94</v>
      </c>
      <c r="F88" s="8">
        <v>94</v>
      </c>
      <c r="G88" s="8">
        <v>1</v>
      </c>
      <c r="H88" s="7" t="s">
        <v>1964</v>
      </c>
      <c r="I88" s="9" t="s">
        <v>2049</v>
      </c>
      <c r="J88" s="7">
        <v>87</v>
      </c>
      <c r="K88" s="7" t="str">
        <f t="shared" si="0"/>
        <v>CCLF3.DGNS_PRCDR_ICD_IND</v>
      </c>
      <c r="L88" s="7" t="str">
        <f>_xlfn.XLOOKUP("*'"&amp;K88&amp;"'*",Data_Dictionary[cclfMapping],Data_Dictionary[Field Name],,2)</f>
        <v>Diagnosis Procedure ICD indicator</v>
      </c>
      <c r="M88" s="7" t="str">
        <f>_xlfn.XLOOKUP("*'"&amp;K88&amp;"'*",Data_Dictionary[cclfMapping],Data_Dictionary[Field Name],,2)</f>
        <v>Diagnosis Procedure ICD indicator</v>
      </c>
      <c r="N88" s="7" t="str">
        <f>_xlfn.XLOOKUP("*'"&amp;K88&amp;"'*",Data_Dictionary[cclfMapping],Data_Dictionary[fhirPath],,2)</f>
        <v>ExplanationOfBenefit.procedure.procedure.coding.system</v>
      </c>
    </row>
    <row r="89" spans="1:14" ht="130.5">
      <c r="A89" s="7" t="s">
        <v>2134</v>
      </c>
      <c r="B89" s="8">
        <v>13</v>
      </c>
      <c r="C89" s="7" t="s">
        <v>1054</v>
      </c>
      <c r="D89" s="9" t="s">
        <v>2067</v>
      </c>
      <c r="E89" s="8">
        <v>95</v>
      </c>
      <c r="F89" s="8">
        <v>114</v>
      </c>
      <c r="G89" s="8">
        <v>20</v>
      </c>
      <c r="H89" s="7" t="s">
        <v>1967</v>
      </c>
      <c r="I89" s="9" t="s">
        <v>2146</v>
      </c>
      <c r="J89" s="7">
        <v>88</v>
      </c>
      <c r="K89" s="7" t="str">
        <f t="shared" si="0"/>
        <v>CCLF3.CLM_BLG_PRVDR_OSCAR_NUM</v>
      </c>
      <c r="L89" s="7" t="str">
        <f>_xlfn.XLOOKUP("*'"&amp;K89&amp;"'*",Data_Dictionary[cclfMapping],Data_Dictionary[Field Name],,2)</f>
        <v>Provider Number (OSCAR/CCN)</v>
      </c>
      <c r="M89" s="7" t="str">
        <f>_xlfn.XLOOKUP("*'"&amp;K89&amp;"'*",Data_Dictionary[cclfMapping],Data_Dictionary[Field Name],,2)</f>
        <v>Provider Number (OSCAR/CCN)</v>
      </c>
      <c r="N89" s="7" t="str">
        <f>_xlfn.XLOOKUP("*'"&amp;K89&amp;"'*",Data_Dictionary[cclfMapping],Data_Dictionary[fhirPath],,2)</f>
        <v>ExplanationOfBenefit.contained.where(id = %root.provider.reference.substring(1)).identifier.where(system='http://terminology.hl7.org/NamingSystem/CCN').value</v>
      </c>
    </row>
    <row r="90" spans="1:14" ht="36">
      <c r="A90" s="7" t="s">
        <v>2147</v>
      </c>
      <c r="B90" s="8">
        <v>1</v>
      </c>
      <c r="C90" s="7" t="s">
        <v>1974</v>
      </c>
      <c r="D90" s="7" t="s">
        <v>1975</v>
      </c>
      <c r="E90" s="8">
        <v>1</v>
      </c>
      <c r="F90" s="8">
        <v>13</v>
      </c>
      <c r="G90" s="8">
        <v>13</v>
      </c>
      <c r="H90" s="7" t="s">
        <v>1976</v>
      </c>
      <c r="I90" s="9" t="s">
        <v>1977</v>
      </c>
      <c r="J90" s="7">
        <v>89</v>
      </c>
      <c r="K90" s="7" t="str">
        <f t="shared" si="0"/>
        <v>CCLF4.CUR_CLM_UNIQ_ID</v>
      </c>
      <c r="L90" s="7" t="str">
        <f>_xlfn.XLOOKUP("*'"&amp;K90&amp;"'*",Data_Dictionary[cclfMapping],Data_Dictionary[Field Name],,2)</f>
        <v>The claim unique ID is a unique ID for the claim within the source system.</v>
      </c>
      <c r="M90" s="7" t="str">
        <f>_xlfn.XLOOKUP("*'"&amp;K90&amp;"'*",Data_Dictionary[cclfMapping],Data_Dictionary[Field Name],,2)</f>
        <v>The claim unique ID is a unique ID for the claim within the source system.</v>
      </c>
      <c r="N90" s="7" t="str">
        <f>_xlfn.XLOOKUP("*'"&amp;K90&amp;"'*",Data_Dictionary[cclfMapping],Data_Dictionary[fhirPath],,2)</f>
        <v>ExplanationOfBenefit.identifier.where(type.coding.system = 'http://hl7.org/fhir/us/carin-bb/CodeSystem/C4BBIdentifierType' and type.coding.code = 'uc' ).value</v>
      </c>
    </row>
    <row r="91" spans="1:14" ht="24">
      <c r="A91" s="7" t="s">
        <v>2147</v>
      </c>
      <c r="B91" s="8">
        <v>2</v>
      </c>
      <c r="C91" s="7" t="s">
        <v>1739</v>
      </c>
      <c r="D91" s="7" t="s">
        <v>1734</v>
      </c>
      <c r="E91" s="8">
        <v>14</v>
      </c>
      <c r="F91" s="8">
        <v>24</v>
      </c>
      <c r="G91" s="8">
        <v>11</v>
      </c>
      <c r="H91" s="7" t="s">
        <v>1982</v>
      </c>
      <c r="I91" s="9" t="s">
        <v>2095</v>
      </c>
      <c r="J91" s="7">
        <v>90</v>
      </c>
      <c r="K91" s="7" t="str">
        <f t="shared" si="0"/>
        <v>CCLF4.BENE_MBI_ID</v>
      </c>
      <c r="L91" s="7" t="str">
        <f>_xlfn.XLOOKUP("*'"&amp;K91&amp;"'*",Data_Dictionary[cclfMapping],Data_Dictionary[Field Name],,2)</f>
        <v>Medicare Beneficiary Identifier</v>
      </c>
      <c r="M91" s="7" t="str">
        <f>_xlfn.XLOOKUP("*'"&amp;K91&amp;"'*",Data_Dictionary[cclfMapping],Data_Dictionary[Field Name],,2)</f>
        <v>Medicare Beneficiary Identifier</v>
      </c>
      <c r="N91" s="7" t="str">
        <f>_xlfn.XLOOKUP("*'"&amp;K91&amp;"'*",Data_Dictionary[cclfMapping],Data_Dictionary[fhirPath],,2)</f>
        <v>Patient.identifier.where(system='http://hl7.org/fhir/sid/us-mbi').value</v>
      </c>
    </row>
    <row r="92" spans="1:14" ht="84">
      <c r="A92" s="7" t="s">
        <v>2147</v>
      </c>
      <c r="B92" s="8">
        <v>3</v>
      </c>
      <c r="C92" s="7" t="s">
        <v>1984</v>
      </c>
      <c r="D92" s="7" t="s">
        <v>1985</v>
      </c>
      <c r="E92" s="8">
        <v>25</v>
      </c>
      <c r="F92" s="8">
        <v>35</v>
      </c>
      <c r="G92" s="8">
        <v>11</v>
      </c>
      <c r="H92" s="7" t="s">
        <v>1982</v>
      </c>
      <c r="I92" s="9" t="s">
        <v>2135</v>
      </c>
      <c r="J92" s="7">
        <v>91</v>
      </c>
      <c r="K92" s="7" t="str">
        <f t="shared" si="0"/>
        <v>CCLF4.BENE_HIC_NUM</v>
      </c>
      <c r="L92" s="7" t="e">
        <f>_xlfn.XLOOKUP("*'"&amp;K92&amp;"'*",Data_Dictionary[cclfMapping],Data_Dictionary[Field Name],,2)</f>
        <v>#N/A</v>
      </c>
      <c r="M92" s="7" t="e">
        <f>_xlfn.XLOOKUP("*'"&amp;K92&amp;"'*",Data_Dictionary[cclfMapping],Data_Dictionary[Field Name],,2)</f>
        <v>#N/A</v>
      </c>
      <c r="N92" s="7" t="e">
        <f>_xlfn.XLOOKUP("*'"&amp;K92&amp;"'*",Data_Dictionary[cclfMapping],Data_Dictionary[fhirPath],,2)</f>
        <v>#N/A</v>
      </c>
    </row>
    <row r="93" spans="1:14" ht="118.5">
      <c r="A93" s="7" t="s">
        <v>2147</v>
      </c>
      <c r="B93" s="8">
        <v>4</v>
      </c>
      <c r="C93" s="7" t="s">
        <v>77</v>
      </c>
      <c r="D93" s="7" t="s">
        <v>73</v>
      </c>
      <c r="E93" s="8">
        <v>36</v>
      </c>
      <c r="F93" s="8">
        <v>37</v>
      </c>
      <c r="G93" s="8">
        <v>2</v>
      </c>
      <c r="H93" s="7" t="s">
        <v>1987</v>
      </c>
      <c r="I93" s="9" t="s">
        <v>2148</v>
      </c>
      <c r="J93" s="7">
        <v>92</v>
      </c>
      <c r="K93" s="7" t="str">
        <f t="shared" si="0"/>
        <v>CCLF4.CLM_TYPE_CD</v>
      </c>
      <c r="L93" s="7" t="str">
        <f>_xlfn.XLOOKUP("*'"&amp;K93&amp;"'*",Data_Dictionary[cclfMapping],Data_Dictionary[Field Name],,2)</f>
        <v>Claim Type Code</v>
      </c>
      <c r="M93" s="7" t="str">
        <f>_xlfn.XLOOKUP("*'"&amp;K93&amp;"'*",Data_Dictionary[cclfMapping],Data_Dictionary[Field Name],,2)</f>
        <v>Claim Type Code</v>
      </c>
      <c r="N93" s="7" t="str">
        <f>_xlfn.XLOOKUP("*'"&amp;K93&amp;"'*",Data_Dictionary[cclfMapping],Data_Dictionary[fhirPath],,2)</f>
        <v>ExplanationOfBenefit.type.coding.where(system = 'https://bluebutton.cms.gov/fhir/CodeSystem/CLM-TYPE-CD').code</v>
      </c>
    </row>
    <row r="94" spans="1:14" ht="60">
      <c r="A94" s="7" t="s">
        <v>2147</v>
      </c>
      <c r="B94" s="8">
        <v>5</v>
      </c>
      <c r="C94" s="7" t="s">
        <v>532</v>
      </c>
      <c r="D94" s="7" t="s">
        <v>2149</v>
      </c>
      <c r="E94" s="8">
        <v>38</v>
      </c>
      <c r="F94" s="8">
        <v>38</v>
      </c>
      <c r="G94" s="8">
        <v>1</v>
      </c>
      <c r="H94" s="7" t="s">
        <v>1993</v>
      </c>
      <c r="I94" s="9" t="s">
        <v>2150</v>
      </c>
      <c r="J94" s="7">
        <v>93</v>
      </c>
      <c r="K94" s="7" t="str">
        <f t="shared" si="0"/>
        <v>CCLF4.CLM_PROD_TYPE_CD</v>
      </c>
      <c r="L94" s="7" t="str">
        <f>_xlfn.XLOOKUP("*'"&amp;K94&amp;"'*",Data_Dictionary[cclfMapping],Data_Dictionary[Field Name],,2)</f>
        <v>Diagnosis Prod Type Code</v>
      </c>
      <c r="M94" s="7" t="str">
        <f>_xlfn.XLOOKUP("*'"&amp;K94&amp;"'*",Data_Dictionary[cclfMapping],Data_Dictionary[Field Name],,2)</f>
        <v>Diagnosis Prod Type Code</v>
      </c>
      <c r="N94" s="7" t="str">
        <f>_xlfn.XLOOKUP("*'"&amp;K94&amp;"'*",Data_Dictionary[cclfMapping],Data_Dictionary[fhirPath],,2)</f>
        <v>ExplanationOfBenefit.diagnosis.type.coding</v>
      </c>
    </row>
    <row r="95" spans="1:14" ht="24">
      <c r="A95" s="7" t="s">
        <v>2147</v>
      </c>
      <c r="B95" s="8">
        <v>6</v>
      </c>
      <c r="C95" s="7" t="s">
        <v>2137</v>
      </c>
      <c r="D95" s="7" t="s">
        <v>2138</v>
      </c>
      <c r="E95" s="8">
        <v>39</v>
      </c>
      <c r="F95" s="8">
        <v>40</v>
      </c>
      <c r="G95" s="8">
        <v>2</v>
      </c>
      <c r="H95" s="7" t="s">
        <v>2139</v>
      </c>
      <c r="I95" s="7" t="s">
        <v>2140</v>
      </c>
      <c r="J95" s="7">
        <v>94</v>
      </c>
      <c r="K95" s="7" t="str">
        <f t="shared" si="0"/>
        <v>CCLF4.CLM_VAL_SQNC_NUM</v>
      </c>
      <c r="L95" s="7" t="e">
        <f>_xlfn.XLOOKUP("*'"&amp;K95&amp;"'*",Data_Dictionary[cclfMapping],Data_Dictionary[Field Name],,2)</f>
        <v>#N/A</v>
      </c>
      <c r="M95" s="7" t="e">
        <f>_xlfn.XLOOKUP("*'"&amp;K95&amp;"'*",Data_Dictionary[cclfMapping],Data_Dictionary[Field Name],,2)</f>
        <v>#N/A</v>
      </c>
      <c r="N95" s="7" t="e">
        <f>_xlfn.XLOOKUP("*'"&amp;K95&amp;"'*",Data_Dictionary[cclfMapping],Data_Dictionary[fhirPath],,2)</f>
        <v>#N/A</v>
      </c>
    </row>
    <row r="96" spans="1:14" ht="24">
      <c r="A96" s="7" t="s">
        <v>2147</v>
      </c>
      <c r="B96" s="8">
        <v>7</v>
      </c>
      <c r="C96" s="7" t="s">
        <v>518</v>
      </c>
      <c r="D96" s="7" t="s">
        <v>2151</v>
      </c>
      <c r="E96" s="8">
        <v>41</v>
      </c>
      <c r="F96" s="8">
        <v>47</v>
      </c>
      <c r="G96" s="8">
        <v>7</v>
      </c>
      <c r="H96" s="7" t="s">
        <v>1999</v>
      </c>
      <c r="I96" s="9" t="s">
        <v>2152</v>
      </c>
      <c r="J96" s="7">
        <v>95</v>
      </c>
      <c r="K96" s="7" t="str">
        <f t="shared" si="0"/>
        <v>CCLF4.CLM_DGNS_CD</v>
      </c>
      <c r="L96" s="7" t="str">
        <f>_xlfn.XLOOKUP("*'"&amp;K96&amp;"'*",Data_Dictionary[cclfMapping],Data_Dictionary[Field Name],,2)</f>
        <v>Claim Diagnosis Code</v>
      </c>
      <c r="M96" s="7" t="str">
        <f>_xlfn.XLOOKUP("*'"&amp;K96&amp;"'*",Data_Dictionary[cclfMapping],Data_Dictionary[Field Name],,2)</f>
        <v>Claim Diagnosis Code</v>
      </c>
      <c r="N96" s="7" t="str">
        <f>_xlfn.XLOOKUP("*'"&amp;K96&amp;"'*",Data_Dictionary[cclfMapping],Data_Dictionary[fhirPath],,2)</f>
        <v>ExplanationOfBenefit.diagnosis.diagnosis.coding.code</v>
      </c>
    </row>
    <row r="97" spans="1:14" ht="84">
      <c r="A97" s="7" t="s">
        <v>2147</v>
      </c>
      <c r="B97" s="8">
        <v>8</v>
      </c>
      <c r="C97" s="7" t="s">
        <v>2037</v>
      </c>
      <c r="D97" s="7" t="s">
        <v>2038</v>
      </c>
      <c r="E97" s="8">
        <v>48</v>
      </c>
      <c r="F97" s="8">
        <v>58</v>
      </c>
      <c r="G97" s="8">
        <v>11</v>
      </c>
      <c r="H97" s="7" t="s">
        <v>1982</v>
      </c>
      <c r="I97" s="9" t="s">
        <v>2153</v>
      </c>
      <c r="J97" s="7">
        <v>96</v>
      </c>
      <c r="K97" s="7" t="str">
        <f t="shared" si="0"/>
        <v>CCLF4.BENE_EQTBL_BIC_HICN_NUM</v>
      </c>
      <c r="L97" s="7" t="e">
        <f>_xlfn.XLOOKUP("*'"&amp;K97&amp;"'*",Data_Dictionary[cclfMapping],Data_Dictionary[Field Name],,2)</f>
        <v>#N/A</v>
      </c>
      <c r="M97" s="7" t="e">
        <f>_xlfn.XLOOKUP("*'"&amp;K97&amp;"'*",Data_Dictionary[cclfMapping],Data_Dictionary[Field Name],,2)</f>
        <v>#N/A</v>
      </c>
      <c r="N97" s="7" t="e">
        <f>_xlfn.XLOOKUP("*'"&amp;K97&amp;"'*",Data_Dictionary[cclfMapping],Data_Dictionary[fhirPath],,2)</f>
        <v>#N/A</v>
      </c>
    </row>
    <row r="98" spans="1:14" ht="48">
      <c r="A98" s="7" t="s">
        <v>2147</v>
      </c>
      <c r="B98" s="8">
        <v>9</v>
      </c>
      <c r="C98" s="7" t="s">
        <v>1978</v>
      </c>
      <c r="D98" s="7" t="s">
        <v>1979</v>
      </c>
      <c r="E98" s="8">
        <v>59</v>
      </c>
      <c r="F98" s="8">
        <v>64</v>
      </c>
      <c r="G98" s="8">
        <v>6</v>
      </c>
      <c r="H98" s="7" t="s">
        <v>2111</v>
      </c>
      <c r="I98" s="9" t="s">
        <v>2154</v>
      </c>
      <c r="J98" s="7">
        <v>97</v>
      </c>
      <c r="K98" s="7" t="str">
        <f t="shared" si="0"/>
        <v>CCLF4.PRVDR_OSCAR_NUM</v>
      </c>
      <c r="L98" s="7" t="str">
        <f>_xlfn.XLOOKUP("*'"&amp;K98&amp;"'*",Data_Dictionary[cclfMapping],Data_Dictionary[Field Name],,2)</f>
        <v>Provider Number (OSCAR/CCN)</v>
      </c>
      <c r="M98" s="7" t="str">
        <f>_xlfn.XLOOKUP("*'"&amp;K98&amp;"'*",Data_Dictionary[cclfMapping],Data_Dictionary[Field Name],,2)</f>
        <v>Provider Number (OSCAR/CCN)</v>
      </c>
      <c r="N98" s="7" t="str">
        <f>_xlfn.XLOOKUP("*'"&amp;K98&amp;"'*",Data_Dictionary[cclfMapping],Data_Dictionary[fhirPath],,2)</f>
        <v>ExplanationOfBenefit.contained.where(id = %root.provider.reference.substring(1)).identifier.where(system='http://terminology.hl7.org/NamingSystem/CCN').value</v>
      </c>
    </row>
    <row r="99" spans="1:14" ht="36">
      <c r="A99" s="7" t="s">
        <v>2147</v>
      </c>
      <c r="B99" s="8">
        <v>10</v>
      </c>
      <c r="C99" s="7" t="s">
        <v>87</v>
      </c>
      <c r="D99" s="7" t="s">
        <v>83</v>
      </c>
      <c r="E99" s="8">
        <v>65</v>
      </c>
      <c r="F99" s="8">
        <v>74</v>
      </c>
      <c r="G99" s="8">
        <v>10</v>
      </c>
      <c r="H99" s="7" t="s">
        <v>1989</v>
      </c>
      <c r="I99" s="9" t="s">
        <v>2113</v>
      </c>
      <c r="J99" s="7">
        <v>98</v>
      </c>
      <c r="K99" s="7" t="str">
        <f t="shared" si="0"/>
        <v>CCLF4.CLM_FROM_DT</v>
      </c>
      <c r="L99" s="7" t="str">
        <f>_xlfn.XLOOKUP("*'"&amp;K99&amp;"'*",Data_Dictionary[cclfMapping],Data_Dictionary[Field Name],,2)</f>
        <v>Claim From Date</v>
      </c>
      <c r="M99" s="7" t="str">
        <f>_xlfn.XLOOKUP("*'"&amp;K99&amp;"'*",Data_Dictionary[cclfMapping],Data_Dictionary[Field Name],,2)</f>
        <v>Claim From Date</v>
      </c>
      <c r="N99" s="7" t="str">
        <f>_xlfn.XLOOKUP("*'"&amp;K99&amp;"'*",Data_Dictionary[cclfMapping],Data_Dictionary[fhirPath],,2)</f>
        <v>ExplanationOfBenefit.billablePeriod.start</v>
      </c>
    </row>
    <row r="100" spans="1:14" ht="36">
      <c r="A100" s="7" t="s">
        <v>2147</v>
      </c>
      <c r="B100" s="8">
        <v>11</v>
      </c>
      <c r="C100" s="7" t="s">
        <v>91</v>
      </c>
      <c r="D100" s="7" t="s">
        <v>88</v>
      </c>
      <c r="E100" s="8">
        <v>75</v>
      </c>
      <c r="F100" s="8">
        <v>84</v>
      </c>
      <c r="G100" s="8">
        <v>10</v>
      </c>
      <c r="H100" s="7" t="s">
        <v>1989</v>
      </c>
      <c r="I100" s="9" t="s">
        <v>1991</v>
      </c>
      <c r="J100" s="7">
        <v>99</v>
      </c>
      <c r="K100" s="7" t="str">
        <f t="shared" si="0"/>
        <v>CCLF4.CLM_THRU_DT</v>
      </c>
      <c r="L100" s="7" t="str">
        <f>_xlfn.XLOOKUP("*'"&amp;K100&amp;"'*",Data_Dictionary[cclfMapping],Data_Dictionary[Field Name],,2)</f>
        <v>Claim Thru Date</v>
      </c>
      <c r="M100" s="7" t="str">
        <f>_xlfn.XLOOKUP("*'"&amp;K100&amp;"'*",Data_Dictionary[cclfMapping],Data_Dictionary[Field Name],,2)</f>
        <v>Claim Thru Date</v>
      </c>
      <c r="N100" s="7" t="str">
        <f>_xlfn.XLOOKUP("*'"&amp;K100&amp;"'*",Data_Dictionary[cclfMapping],Data_Dictionary[fhirPath],,2)</f>
        <v>ExplanationOfBenefit.billablePeriod.end</v>
      </c>
    </row>
    <row r="101" spans="1:14" ht="36">
      <c r="A101" s="7" t="s">
        <v>2147</v>
      </c>
      <c r="B101" s="8">
        <v>12</v>
      </c>
      <c r="C101" s="7" t="s">
        <v>538</v>
      </c>
      <c r="D101" s="7" t="s">
        <v>2155</v>
      </c>
      <c r="E101" s="8">
        <v>85</v>
      </c>
      <c r="F101" s="8">
        <v>91</v>
      </c>
      <c r="G101" s="8">
        <v>7</v>
      </c>
      <c r="H101" s="7" t="s">
        <v>2156</v>
      </c>
      <c r="I101" s="11" t="s">
        <v>2157</v>
      </c>
      <c r="J101" s="7">
        <v>100</v>
      </c>
      <c r="K101" s="7" t="str">
        <f t="shared" si="0"/>
        <v>CCLF4.CLM_POA_IND</v>
      </c>
      <c r="L101" s="7" t="str">
        <f>_xlfn.XLOOKUP("*'"&amp;K101&amp;"'*",Data_Dictionary[cclfMapping],Data_Dictionary[Field Name],,2)</f>
        <v>Claim Present on Admission Indicator</v>
      </c>
      <c r="M101" s="7" t="str">
        <f>_xlfn.XLOOKUP("*'"&amp;K101&amp;"'*",Data_Dictionary[cclfMapping],Data_Dictionary[Field Name],,2)</f>
        <v>Claim Present on Admission Indicator</v>
      </c>
      <c r="N101" s="7" t="str">
        <f>_xlfn.XLOOKUP("*'"&amp;K101&amp;"'*",Data_Dictionary[cclfMapping],Data_Dictionary[fhirPath],,2)</f>
        <v>ExplanationOfBenefit.diagnosis.onAdmission.coding</v>
      </c>
    </row>
    <row r="102" spans="1:14" ht="36">
      <c r="A102" s="7" t="s">
        <v>2147</v>
      </c>
      <c r="B102" s="8">
        <v>13</v>
      </c>
      <c r="C102" s="7" t="s">
        <v>2047</v>
      </c>
      <c r="D102" s="7" t="s">
        <v>2048</v>
      </c>
      <c r="E102" s="8">
        <v>92</v>
      </c>
      <c r="F102" s="8">
        <v>92</v>
      </c>
      <c r="G102" s="8">
        <v>1</v>
      </c>
      <c r="H102" s="7" t="s">
        <v>1964</v>
      </c>
      <c r="I102" s="9" t="s">
        <v>2049</v>
      </c>
      <c r="J102" s="7">
        <v>101</v>
      </c>
      <c r="K102" s="7" t="str">
        <f t="shared" si="0"/>
        <v>CCLF4.DGNS_PRCDR_ICD_IND</v>
      </c>
      <c r="L102" s="7" t="str">
        <f>_xlfn.XLOOKUP("*'"&amp;K102&amp;"'*",Data_Dictionary[cclfMapping],Data_Dictionary[Field Name],,2)</f>
        <v>Diagnosis Procedure ICD indicator</v>
      </c>
      <c r="M102" s="7" t="str">
        <f>_xlfn.XLOOKUP("*'"&amp;K102&amp;"'*",Data_Dictionary[cclfMapping],Data_Dictionary[Field Name],,2)</f>
        <v>Diagnosis Procedure ICD indicator</v>
      </c>
      <c r="N102" s="7" t="str">
        <f>_xlfn.XLOOKUP("*'"&amp;K102&amp;"'*",Data_Dictionary[cclfMapping],Data_Dictionary[fhirPath],,2)</f>
        <v>ExplanationOfBenefit.diagnosis.diagnosis.coding.system</v>
      </c>
    </row>
    <row r="103" spans="1:14" ht="130.5">
      <c r="A103" s="7" t="s">
        <v>2147</v>
      </c>
      <c r="B103" s="8">
        <v>14</v>
      </c>
      <c r="C103" s="7" t="s">
        <v>1054</v>
      </c>
      <c r="D103" s="7" t="s">
        <v>2067</v>
      </c>
      <c r="E103" s="8">
        <v>93</v>
      </c>
      <c r="F103" s="8">
        <v>112</v>
      </c>
      <c r="G103" s="8">
        <v>20</v>
      </c>
      <c r="H103" s="7" t="s">
        <v>1967</v>
      </c>
      <c r="I103" s="9" t="s">
        <v>2158</v>
      </c>
      <c r="J103" s="7">
        <v>102</v>
      </c>
      <c r="K103" s="7" t="str">
        <f t="shared" si="0"/>
        <v>CCLF4.CLM_BLG_PRVDR_OSCAR_NUM</v>
      </c>
      <c r="L103" s="7" t="str">
        <f>_xlfn.XLOOKUP("*'"&amp;K103&amp;"'*",Data_Dictionary[cclfMapping],Data_Dictionary[Field Name],,2)</f>
        <v>Provider Number (OSCAR/CCN)</v>
      </c>
      <c r="M103" s="7" t="str">
        <f>_xlfn.XLOOKUP("*'"&amp;K103&amp;"'*",Data_Dictionary[cclfMapping],Data_Dictionary[Field Name],,2)</f>
        <v>Provider Number (OSCAR/CCN)</v>
      </c>
      <c r="N103" s="7" t="str">
        <f>_xlfn.XLOOKUP("*'"&amp;K103&amp;"'*",Data_Dictionary[cclfMapping],Data_Dictionary[fhirPath],,2)</f>
        <v>ExplanationOfBenefit.contained.where(id = %root.provider.reference.substring(1)).identifier.where(system='http://terminology.hl7.org/NamingSystem/CCN').value</v>
      </c>
    </row>
    <row r="104" spans="1:14" ht="36">
      <c r="A104" s="7" t="s">
        <v>2159</v>
      </c>
      <c r="B104" s="8">
        <v>1</v>
      </c>
      <c r="C104" s="7" t="s">
        <v>1974</v>
      </c>
      <c r="D104" s="7" t="s">
        <v>1975</v>
      </c>
      <c r="E104" s="8">
        <v>1</v>
      </c>
      <c r="F104" s="8">
        <v>13</v>
      </c>
      <c r="G104" s="8">
        <v>13</v>
      </c>
      <c r="H104" s="7" t="s">
        <v>1976</v>
      </c>
      <c r="I104" s="9" t="s">
        <v>1977</v>
      </c>
      <c r="J104" s="7">
        <v>103</v>
      </c>
      <c r="K104" s="7" t="str">
        <f t="shared" si="0"/>
        <v>CCLF5.CUR_CLM_UNIQ_ID</v>
      </c>
      <c r="L104" s="7" t="str">
        <f>_xlfn.XLOOKUP("*'"&amp;K104&amp;"'*",Data_Dictionary[cclfMapping],Data_Dictionary[Field Name],,2)</f>
        <v>The claim unique ID is a unique ID for the claim within the source system.</v>
      </c>
      <c r="M104" s="7" t="str">
        <f>_xlfn.XLOOKUP("*'"&amp;K104&amp;"'*",Data_Dictionary[cclfMapping],Data_Dictionary[Field Name],,2)</f>
        <v>The claim unique ID is a unique ID for the claim within the source system.</v>
      </c>
      <c r="N104" s="7" t="str">
        <f>_xlfn.XLOOKUP("*'"&amp;K104&amp;"'*",Data_Dictionary[cclfMapping],Data_Dictionary[fhirPath],,2)</f>
        <v>ExplanationOfBenefit.identifier.where(type.coding.system = 'http://hl7.org/fhir/us/carin-bb/CodeSystem/C4BBIdentifierType' and type.coding.code = 'uc' ).value</v>
      </c>
    </row>
    <row r="105" spans="1:14" ht="24">
      <c r="A105" s="7" t="s">
        <v>2159</v>
      </c>
      <c r="B105" s="8">
        <v>2</v>
      </c>
      <c r="C105" s="7" t="s">
        <v>195</v>
      </c>
      <c r="D105" s="7" t="s">
        <v>2092</v>
      </c>
      <c r="E105" s="8">
        <v>14</v>
      </c>
      <c r="F105" s="8">
        <v>23</v>
      </c>
      <c r="G105" s="8">
        <v>10</v>
      </c>
      <c r="H105" s="7" t="s">
        <v>2093</v>
      </c>
      <c r="I105" s="7" t="s">
        <v>2160</v>
      </c>
      <c r="J105" s="7">
        <v>104</v>
      </c>
      <c r="K105" s="7" t="str">
        <f t="shared" si="0"/>
        <v>CCLF5.CLM_LINE_NUM</v>
      </c>
      <c r="L105" s="7" t="str">
        <f>_xlfn.XLOOKUP("*'"&amp;K105&amp;"'*",Data_Dictionary[cclfMapping],Data_Dictionary[Field Name],,2)</f>
        <v>Line Item Sequence Number</v>
      </c>
      <c r="M105" s="7" t="str">
        <f>_xlfn.XLOOKUP("*'"&amp;K105&amp;"'*",Data_Dictionary[cclfMapping],Data_Dictionary[Field Name],,2)</f>
        <v>Line Item Sequence Number</v>
      </c>
      <c r="N105" s="7" t="str">
        <f>_xlfn.XLOOKUP("*'"&amp;K105&amp;"'*",Data_Dictionary[cclfMapping],Data_Dictionary[fhirPath],,2)</f>
        <v>ExplanationOfBenefit.item.sequence</v>
      </c>
    </row>
    <row r="106" spans="1:14" ht="24">
      <c r="A106" s="7" t="s">
        <v>2159</v>
      </c>
      <c r="B106" s="8">
        <v>3</v>
      </c>
      <c r="C106" s="7" t="s">
        <v>1739</v>
      </c>
      <c r="D106" s="7" t="s">
        <v>1734</v>
      </c>
      <c r="E106" s="8">
        <v>24</v>
      </c>
      <c r="F106" s="8">
        <v>34</v>
      </c>
      <c r="G106" s="8">
        <v>11</v>
      </c>
      <c r="H106" s="7" t="s">
        <v>1982</v>
      </c>
      <c r="I106" s="9" t="s">
        <v>2161</v>
      </c>
      <c r="J106" s="7">
        <v>105</v>
      </c>
      <c r="K106" s="7" t="str">
        <f t="shared" si="0"/>
        <v>CCLF5.BENE_MBI_ID</v>
      </c>
      <c r="L106" s="7" t="str">
        <f>_xlfn.XLOOKUP("*'"&amp;K106&amp;"'*",Data_Dictionary[cclfMapping],Data_Dictionary[Field Name],,2)</f>
        <v>Medicare Beneficiary Identifier</v>
      </c>
      <c r="M106" s="7" t="str">
        <f>_xlfn.XLOOKUP("*'"&amp;K106&amp;"'*",Data_Dictionary[cclfMapping],Data_Dictionary[Field Name],,2)</f>
        <v>Medicare Beneficiary Identifier</v>
      </c>
      <c r="N106" s="7" t="str">
        <f>_xlfn.XLOOKUP("*'"&amp;K106&amp;"'*",Data_Dictionary[cclfMapping],Data_Dictionary[fhirPath],,2)</f>
        <v>Patient.identifier.where(system='http://hl7.org/fhir/sid/us-mbi').value</v>
      </c>
    </row>
    <row r="107" spans="1:14" ht="72">
      <c r="A107" s="7" t="s">
        <v>2159</v>
      </c>
      <c r="B107" s="8">
        <v>4</v>
      </c>
      <c r="C107" s="7" t="s">
        <v>1984</v>
      </c>
      <c r="D107" s="7" t="s">
        <v>1985</v>
      </c>
      <c r="E107" s="8">
        <v>35</v>
      </c>
      <c r="F107" s="8">
        <v>45</v>
      </c>
      <c r="G107" s="8">
        <v>11</v>
      </c>
      <c r="H107" s="7" t="s">
        <v>1982</v>
      </c>
      <c r="I107" s="9" t="s">
        <v>2162</v>
      </c>
      <c r="J107" s="7">
        <v>106</v>
      </c>
      <c r="K107" s="7" t="str">
        <f t="shared" si="0"/>
        <v>CCLF5.BENE_HIC_NUM</v>
      </c>
      <c r="L107" s="7" t="e">
        <f>_xlfn.XLOOKUP("*'"&amp;K107&amp;"'*",Data_Dictionary[cclfMapping],Data_Dictionary[Field Name],,2)</f>
        <v>#N/A</v>
      </c>
      <c r="M107" s="7" t="e">
        <f>_xlfn.XLOOKUP("*'"&amp;K107&amp;"'*",Data_Dictionary[cclfMapping],Data_Dictionary[Field Name],,2)</f>
        <v>#N/A</v>
      </c>
      <c r="N107" s="7" t="e">
        <f>_xlfn.XLOOKUP("*'"&amp;K107&amp;"'*",Data_Dictionary[cclfMapping],Data_Dictionary[fhirPath],,2)</f>
        <v>#N/A</v>
      </c>
    </row>
    <row r="108" spans="1:14" ht="60">
      <c r="A108" s="7" t="s">
        <v>2159</v>
      </c>
      <c r="B108" s="8">
        <v>5</v>
      </c>
      <c r="C108" s="7" t="s">
        <v>77</v>
      </c>
      <c r="D108" s="7" t="s">
        <v>73</v>
      </c>
      <c r="E108" s="8">
        <v>46</v>
      </c>
      <c r="F108" s="8">
        <v>47</v>
      </c>
      <c r="G108" s="8">
        <v>2</v>
      </c>
      <c r="H108" s="7" t="s">
        <v>1987</v>
      </c>
      <c r="I108" s="9" t="s">
        <v>2163</v>
      </c>
      <c r="J108" s="7">
        <v>107</v>
      </c>
      <c r="K108" s="7" t="str">
        <f t="shared" si="0"/>
        <v>CCLF5.CLM_TYPE_CD</v>
      </c>
      <c r="L108" s="7" t="str">
        <f>_xlfn.XLOOKUP("*'"&amp;K108&amp;"'*",Data_Dictionary[cclfMapping],Data_Dictionary[Field Name],,2)</f>
        <v>Claim Type Code</v>
      </c>
      <c r="M108" s="7" t="str">
        <f>_xlfn.XLOOKUP("*'"&amp;K108&amp;"'*",Data_Dictionary[cclfMapping],Data_Dictionary[Field Name],,2)</f>
        <v>Claim Type Code</v>
      </c>
      <c r="N108" s="7" t="str">
        <f>_xlfn.XLOOKUP("*'"&amp;K108&amp;"'*",Data_Dictionary[cclfMapping],Data_Dictionary[fhirPath],,2)</f>
        <v>ExplanationOfBenefit.type.coding.where(system = 'https://bluebutton.cms.gov/fhir/CodeSystem/CLM-TYPE-CD').code</v>
      </c>
    </row>
    <row r="109" spans="1:14" ht="36">
      <c r="A109" s="7" t="s">
        <v>2159</v>
      </c>
      <c r="B109" s="8">
        <v>6</v>
      </c>
      <c r="C109" s="7" t="s">
        <v>87</v>
      </c>
      <c r="D109" s="7" t="s">
        <v>83</v>
      </c>
      <c r="E109" s="8">
        <v>48</v>
      </c>
      <c r="F109" s="8">
        <v>57</v>
      </c>
      <c r="G109" s="8">
        <v>10</v>
      </c>
      <c r="H109" s="7" t="s">
        <v>1989</v>
      </c>
      <c r="I109" s="9" t="s">
        <v>2113</v>
      </c>
      <c r="J109" s="7">
        <v>108</v>
      </c>
      <c r="K109" s="7" t="str">
        <f t="shared" si="0"/>
        <v>CCLF5.CLM_FROM_DT</v>
      </c>
      <c r="L109" s="7" t="str">
        <f>_xlfn.XLOOKUP("*'"&amp;K109&amp;"'*",Data_Dictionary[cclfMapping],Data_Dictionary[Field Name],,2)</f>
        <v>Claim From Date</v>
      </c>
      <c r="M109" s="7" t="str">
        <f>_xlfn.XLOOKUP("*'"&amp;K109&amp;"'*",Data_Dictionary[cclfMapping],Data_Dictionary[Field Name],,2)</f>
        <v>Claim From Date</v>
      </c>
      <c r="N109" s="7" t="str">
        <f>_xlfn.XLOOKUP("*'"&amp;K109&amp;"'*",Data_Dictionary[cclfMapping],Data_Dictionary[fhirPath],,2)</f>
        <v>ExplanationOfBenefit.billablePeriod.start</v>
      </c>
    </row>
    <row r="110" spans="1:14" ht="36">
      <c r="A110" s="7" t="s">
        <v>2159</v>
      </c>
      <c r="B110" s="8">
        <v>7</v>
      </c>
      <c r="C110" s="7" t="s">
        <v>91</v>
      </c>
      <c r="D110" s="7" t="s">
        <v>88</v>
      </c>
      <c r="E110" s="8">
        <v>58</v>
      </c>
      <c r="F110" s="8">
        <v>67</v>
      </c>
      <c r="G110" s="8">
        <v>10</v>
      </c>
      <c r="H110" s="7" t="s">
        <v>1989</v>
      </c>
      <c r="I110" s="9" t="s">
        <v>1991</v>
      </c>
      <c r="J110" s="7">
        <v>109</v>
      </c>
      <c r="K110" s="7" t="str">
        <f t="shared" si="0"/>
        <v>CCLF5.CLM_THRU_DT</v>
      </c>
      <c r="L110" s="7" t="str">
        <f>_xlfn.XLOOKUP("*'"&amp;K110&amp;"'*",Data_Dictionary[cclfMapping],Data_Dictionary[Field Name],,2)</f>
        <v>Claim Thru Date</v>
      </c>
      <c r="M110" s="7" t="str">
        <f>_xlfn.XLOOKUP("*'"&amp;K110&amp;"'*",Data_Dictionary[cclfMapping],Data_Dictionary[Field Name],,2)</f>
        <v>Claim Thru Date</v>
      </c>
      <c r="N110" s="7" t="str">
        <f>_xlfn.XLOOKUP("*'"&amp;K110&amp;"'*",Data_Dictionary[cclfMapping],Data_Dictionary[fhirPath],,2)</f>
        <v>ExplanationOfBenefit.billablePeriod.end</v>
      </c>
    </row>
    <row r="111" spans="1:14" ht="226.5">
      <c r="A111" s="7" t="s">
        <v>2159</v>
      </c>
      <c r="B111" s="8">
        <v>8</v>
      </c>
      <c r="C111" s="7" t="s">
        <v>2164</v>
      </c>
      <c r="D111" s="7" t="s">
        <v>2165</v>
      </c>
      <c r="E111" s="8">
        <v>68</v>
      </c>
      <c r="F111" s="8">
        <v>70</v>
      </c>
      <c r="G111" s="8">
        <v>3</v>
      </c>
      <c r="H111" s="7" t="s">
        <v>2166</v>
      </c>
      <c r="I111" s="9" t="s">
        <v>2167</v>
      </c>
      <c r="J111" s="7">
        <v>110</v>
      </c>
      <c r="K111" s="7" t="str">
        <f t="shared" si="0"/>
        <v>CCLF5.RNDRG_PRVDR_TYPE_CD</v>
      </c>
      <c r="L111" s="7" t="e">
        <f>_xlfn.XLOOKUP("*'"&amp;K111&amp;"'*",Data_Dictionary[cclfMapping],Data_Dictionary[Field Name],,2)</f>
        <v>#N/A</v>
      </c>
      <c r="M111" s="7" t="e">
        <f>_xlfn.XLOOKUP("*'"&amp;K111&amp;"'*",Data_Dictionary[cclfMapping],Data_Dictionary[Field Name],,2)</f>
        <v>#N/A</v>
      </c>
      <c r="N111" s="7" t="e">
        <f>_xlfn.XLOOKUP("*'"&amp;K111&amp;"'*",Data_Dictionary[cclfMapping],Data_Dictionary[fhirPath],,2)</f>
        <v>#N/A</v>
      </c>
    </row>
    <row r="112" spans="1:14" ht="24">
      <c r="A112" s="7" t="s">
        <v>2159</v>
      </c>
      <c r="B112" s="8">
        <v>9</v>
      </c>
      <c r="C112" s="7" t="s">
        <v>2168</v>
      </c>
      <c r="D112" s="7" t="s">
        <v>2169</v>
      </c>
      <c r="E112" s="8">
        <v>71</v>
      </c>
      <c r="F112" s="8">
        <v>72</v>
      </c>
      <c r="G112" s="8">
        <v>2</v>
      </c>
      <c r="H112" s="7" t="s">
        <v>2005</v>
      </c>
      <c r="I112" s="7" t="s">
        <v>2170</v>
      </c>
      <c r="J112" s="7">
        <v>111</v>
      </c>
      <c r="K112" s="7" t="str">
        <f t="shared" si="0"/>
        <v>CCLF5.RNDRG_PRVDR_FIPS_ST_CD</v>
      </c>
      <c r="L112" s="7" t="str">
        <f>_xlfn.XLOOKUP("*'"&amp;K112&amp;"'*",Data_Dictionary[cclfMapping],Data_Dictionary[Field Name],,2)</f>
        <v>State FIPS Code</v>
      </c>
      <c r="M112" s="7" t="str">
        <f>_xlfn.XLOOKUP("*'"&amp;K112&amp;"'*",Data_Dictionary[cclfMapping],Data_Dictionary[Field Name],,2)</f>
        <v>State FIPS Code</v>
      </c>
      <c r="N112" s="7" t="str">
        <f>_xlfn.XLOOKUP("*'"&amp;K112&amp;"'*",Data_Dictionary[cclfMapping],Data_Dictionary[fhirPath],,2)</f>
        <v>ExplanationOfBenefit.supportingInfo.where(category.coding.where(system='https://bluebutton.cms.gov/fhir/CodeSystem/Supporting-Information').exists() and category.coding.where(code='RNDRG_PRVDR_FIPS_ST_CD').exists()).code</v>
      </c>
    </row>
    <row r="113" spans="1:14" ht="60">
      <c r="A113" s="7" t="s">
        <v>2159</v>
      </c>
      <c r="B113" s="8">
        <v>10</v>
      </c>
      <c r="C113" s="7" t="s">
        <v>1341</v>
      </c>
      <c r="D113" s="7" t="s">
        <v>2171</v>
      </c>
      <c r="E113" s="8">
        <v>73</v>
      </c>
      <c r="F113" s="8">
        <v>74</v>
      </c>
      <c r="G113" s="8">
        <v>2</v>
      </c>
      <c r="H113" s="7" t="s">
        <v>2005</v>
      </c>
      <c r="I113" s="11" t="s">
        <v>2172</v>
      </c>
      <c r="J113" s="7">
        <v>112</v>
      </c>
      <c r="K113" s="7" t="str">
        <f t="shared" si="0"/>
        <v>CCLF5.CLM_PRVDR_SPCLTY_CD</v>
      </c>
      <c r="L113" s="7" t="str">
        <f>_xlfn.XLOOKUP("*'"&amp;K113&amp;"'*",Data_Dictionary[cclfMapping],Data_Dictionary[Field Name],,2)</f>
        <v>Provider Speciality Code</v>
      </c>
      <c r="M113" s="7" t="str">
        <f>_xlfn.XLOOKUP("*'"&amp;K113&amp;"'*",Data_Dictionary[cclfMapping],Data_Dictionary[Field Name],,2)</f>
        <v>Provider Speciality Code</v>
      </c>
      <c r="N113" s="7" t="str">
        <f>_xlfn.XLOOKUP("*'"&amp;K113&amp;"'*",Data_Dictionary[cclfMapping],Data_Dictionary[fhirPath],,2)</f>
        <v>ExplanationOfBenefit.item.extension.where(url='https://bluebutton.cms.gov/fhir/StructureDefinition/CLM-PRVDR-SPCLTY-CD').value.code</v>
      </c>
    </row>
    <row r="114" spans="1:14" ht="48">
      <c r="A114" s="7" t="s">
        <v>2159</v>
      </c>
      <c r="B114" s="8">
        <v>11</v>
      </c>
      <c r="C114" s="7" t="s">
        <v>1314</v>
      </c>
      <c r="D114" s="7" t="s">
        <v>2173</v>
      </c>
      <c r="E114" s="8">
        <v>75</v>
      </c>
      <c r="F114" s="8">
        <v>75</v>
      </c>
      <c r="G114" s="8">
        <v>1</v>
      </c>
      <c r="H114" s="7" t="s">
        <v>1993</v>
      </c>
      <c r="I114" s="11" t="s">
        <v>2174</v>
      </c>
      <c r="J114" s="7">
        <v>113</v>
      </c>
      <c r="K114" s="7" t="str">
        <f t="shared" si="0"/>
        <v>CCLF5.CLM_FED_TYPE_SRVC_CD</v>
      </c>
      <c r="L114" s="7" t="str">
        <f>_xlfn.XLOOKUP("*'"&amp;K114&amp;"'*",Data_Dictionary[cclfMapping],Data_Dictionary[Field Name],,2)</f>
        <v>CMS Service Type Code</v>
      </c>
      <c r="M114" s="7" t="str">
        <f>_xlfn.XLOOKUP("*'"&amp;K114&amp;"'*",Data_Dictionary[cclfMapping],Data_Dictionary[Field Name],,2)</f>
        <v>CMS Service Type Code</v>
      </c>
      <c r="N114" s="7" t="str">
        <f>_xlfn.XLOOKUP("*'"&amp;K114&amp;"'*",Data_Dictionary[cclfMapping],Data_Dictionary[fhirPath],,2)</f>
        <v>ExplanationOfBenefit.item.extension.where(url='https://bluebutton.cms.gov/fhir/StructureDefinition/CLM-FED-TYPE-SRVC-CD').value.code</v>
      </c>
    </row>
    <row r="115" spans="1:14" ht="48">
      <c r="A115" s="7" t="s">
        <v>2159</v>
      </c>
      <c r="B115" s="8">
        <v>12</v>
      </c>
      <c r="C115" s="7" t="s">
        <v>1204</v>
      </c>
      <c r="D115" s="7" t="s">
        <v>2175</v>
      </c>
      <c r="E115" s="8">
        <v>76</v>
      </c>
      <c r="F115" s="8">
        <v>77</v>
      </c>
      <c r="G115" s="8">
        <v>2</v>
      </c>
      <c r="H115" s="7" t="s">
        <v>2005</v>
      </c>
      <c r="I115" s="11" t="s">
        <v>2176</v>
      </c>
      <c r="J115" s="7">
        <v>114</v>
      </c>
      <c r="K115" s="7" t="str">
        <f t="shared" si="0"/>
        <v>CCLF5.CLM_POS_CD</v>
      </c>
      <c r="L115" s="7" t="str">
        <f>_xlfn.XLOOKUP("*'"&amp;K115&amp;"'*",Data_Dictionary[cclfMapping],Data_Dictionary[Field Name],,2)</f>
        <v>Place Of Service Code</v>
      </c>
      <c r="M115" s="7" t="str">
        <f>_xlfn.XLOOKUP("*'"&amp;K115&amp;"'*",Data_Dictionary[cclfMapping],Data_Dictionary[Field Name],,2)</f>
        <v>Place Of Service Code</v>
      </c>
      <c r="N115" s="7" t="str">
        <f>_xlfn.XLOOKUP("*'"&amp;K115&amp;"'*",Data_Dictionary[cclfMapping],Data_Dictionary[fhirPath],,2)</f>
        <v>ExplanationOfBenefit.item.location.coding.where(system='https://www.cms.gov/Medicare/Coding/place-of-service-codes/Place_of_Service_Code_Set').code</v>
      </c>
    </row>
    <row r="116" spans="1:14" ht="24">
      <c r="A116" s="7" t="s">
        <v>2159</v>
      </c>
      <c r="B116" s="8">
        <v>13</v>
      </c>
      <c r="C116" s="7" t="s">
        <v>199</v>
      </c>
      <c r="D116" s="7" t="s">
        <v>2098</v>
      </c>
      <c r="E116" s="8">
        <v>78</v>
      </c>
      <c r="F116" s="8">
        <v>87</v>
      </c>
      <c r="G116" s="8">
        <v>10</v>
      </c>
      <c r="H116" s="7" t="s">
        <v>1989</v>
      </c>
      <c r="I116" s="7" t="s">
        <v>2177</v>
      </c>
      <c r="J116" s="7">
        <v>115</v>
      </c>
      <c r="K116" s="7" t="str">
        <f t="shared" si="0"/>
        <v>CCLF5.CLM_LINE_FROM_DT</v>
      </c>
      <c r="L116" s="7" t="str">
        <f>_xlfn.XLOOKUP("*'"&amp;K116&amp;"'*",Data_Dictionary[cclfMapping],Data_Dictionary[Field Name],,2)</f>
        <v>Line Item From Date</v>
      </c>
      <c r="M116" s="7" t="str">
        <f>_xlfn.XLOOKUP("*'"&amp;K116&amp;"'*",Data_Dictionary[cclfMapping],Data_Dictionary[Field Name],,2)</f>
        <v>Line Item From Date</v>
      </c>
      <c r="N116" s="7" t="str">
        <f>_xlfn.XLOOKUP("*'"&amp;K116&amp;"'*",Data_Dictionary[cclfMapping],Data_Dictionary[fhirPath],,2)</f>
        <v>ExplanationOfBenefit.item.serviced.start</v>
      </c>
    </row>
    <row r="117" spans="1:14" ht="24">
      <c r="A117" s="7" t="s">
        <v>2159</v>
      </c>
      <c r="B117" s="8">
        <v>14</v>
      </c>
      <c r="C117" s="7" t="s">
        <v>1197</v>
      </c>
      <c r="D117" s="7" t="s">
        <v>2100</v>
      </c>
      <c r="E117" s="8">
        <v>88</v>
      </c>
      <c r="F117" s="8">
        <v>97</v>
      </c>
      <c r="G117" s="8">
        <v>10</v>
      </c>
      <c r="H117" s="7" t="s">
        <v>1989</v>
      </c>
      <c r="I117" s="7" t="s">
        <v>2178</v>
      </c>
      <c r="J117" s="7">
        <v>116</v>
      </c>
      <c r="K117" s="7" t="str">
        <f t="shared" si="0"/>
        <v>CCLF5.CLM_LINE_THRU_DT</v>
      </c>
      <c r="L117" s="7" t="str">
        <f>_xlfn.XLOOKUP("*'"&amp;K117&amp;"'*",Data_Dictionary[cclfMapping],Data_Dictionary[Field Name],,2)</f>
        <v>Last Expense Date</v>
      </c>
      <c r="M117" s="7" t="str">
        <f>_xlfn.XLOOKUP("*'"&amp;K117&amp;"'*",Data_Dictionary[cclfMapping],Data_Dictionary[Field Name],,2)</f>
        <v>Last Expense Date</v>
      </c>
      <c r="N117" s="7" t="str">
        <f>_xlfn.XLOOKUP("*'"&amp;K117&amp;"'*",Data_Dictionary[cclfMapping],Data_Dictionary[fhirPath],,2)</f>
        <v>ExplanationOfBenefit.item.serviced.end</v>
      </c>
    </row>
    <row r="118" spans="1:14" ht="24">
      <c r="A118" s="7" t="s">
        <v>2159</v>
      </c>
      <c r="B118" s="8">
        <v>15</v>
      </c>
      <c r="C118" s="7" t="s">
        <v>580</v>
      </c>
      <c r="D118" s="7" t="s">
        <v>2107</v>
      </c>
      <c r="E118" s="8">
        <v>98</v>
      </c>
      <c r="F118" s="8">
        <v>102</v>
      </c>
      <c r="G118" s="8">
        <v>5</v>
      </c>
      <c r="H118" s="7" t="s">
        <v>2108</v>
      </c>
      <c r="I118" s="9" t="s">
        <v>2179</v>
      </c>
      <c r="J118" s="7">
        <v>117</v>
      </c>
      <c r="K118" s="7" t="str">
        <f t="shared" si="0"/>
        <v>CCLF5.CLM_LINE_HCPCS_CD</v>
      </c>
      <c r="L118" s="7" t="str">
        <f>_xlfn.XLOOKUP("*'"&amp;K118&amp;"'*",Data_Dictionary[cclfMapping],Data_Dictionary[Field Name],,2)</f>
        <v>Line Item HCPCS Code</v>
      </c>
      <c r="M118" s="7" t="str">
        <f>_xlfn.XLOOKUP("*'"&amp;K118&amp;"'*",Data_Dictionary[cclfMapping],Data_Dictionary[Field Name],,2)</f>
        <v>Line Item HCPCS Code</v>
      </c>
      <c r="N118" s="7" t="str">
        <f>_xlfn.XLOOKUP("*'"&amp;K118&amp;"'*",Data_Dictionary[cclfMapping],Data_Dictionary[fhirPath],,2)</f>
        <v>ExplanationOfBenefit.item.productOrService.where(coding.system='http://www.ama-assn.org/go/cpt' or coding.system='https://www.cms.gov/Medicare/Coding/HCPCSReleaseCodeSets' or coding.system='http://terminology.hl7.org/CodeSystem/data-absent-reason').coding.code</v>
      </c>
    </row>
    <row r="119" spans="1:14" ht="36">
      <c r="A119" s="7" t="s">
        <v>2159</v>
      </c>
      <c r="B119" s="8">
        <v>16</v>
      </c>
      <c r="C119" s="7" t="s">
        <v>224</v>
      </c>
      <c r="D119" s="7" t="s">
        <v>2180</v>
      </c>
      <c r="E119" s="8">
        <v>103</v>
      </c>
      <c r="F119" s="8">
        <v>117</v>
      </c>
      <c r="G119" s="8">
        <v>15</v>
      </c>
      <c r="H119" s="7" t="s">
        <v>2181</v>
      </c>
      <c r="I119" s="7" t="s">
        <v>2182</v>
      </c>
      <c r="J119" s="7">
        <v>118</v>
      </c>
      <c r="K119" s="7" t="str">
        <f t="shared" si="0"/>
        <v>CCLF5.CLM_LINE_CVRD_PD_AMT</v>
      </c>
      <c r="L119" s="7" t="str">
        <f>_xlfn.XLOOKUP("*'"&amp;K119&amp;"'*",Data_Dictionary[cclfMapping],Data_Dictionary[Field Name],,2)</f>
        <v>Claim Line Covered Paid Amount</v>
      </c>
      <c r="M119" s="7" t="str">
        <f>_xlfn.XLOOKUP("*'"&amp;K119&amp;"'*",Data_Dictionary[cclfMapping],Data_Dictionary[Field Name],,2)</f>
        <v>Claim Line Covered Paid Amount</v>
      </c>
      <c r="N119" s="7" t="str">
        <f>_xlfn.XLOOKUP("*'"&amp;K119&amp;"'*",Data_Dictionary[cclfMapping],Data_Dictionary[fhirPath],,2)</f>
        <v>ExplanationOfBenefit.item.adjudication.where(category.coding.where(system='https://bluebutton.cms.gov/fhir/CodeSystem/Adjudication') and category.coding.where(code='CLM_LINE_CVRD_PD_AMT')).amount.value</v>
      </c>
    </row>
    <row r="120" spans="1:14" ht="84">
      <c r="A120" s="7" t="s">
        <v>2159</v>
      </c>
      <c r="B120" s="8">
        <v>17</v>
      </c>
      <c r="C120" s="7" t="s">
        <v>2183</v>
      </c>
      <c r="D120" s="7" t="s">
        <v>2184</v>
      </c>
      <c r="E120" s="8">
        <v>118</v>
      </c>
      <c r="F120" s="8">
        <v>118</v>
      </c>
      <c r="G120" s="8">
        <v>1</v>
      </c>
      <c r="H120" s="7" t="s">
        <v>1993</v>
      </c>
      <c r="I120" s="11" t="s">
        <v>2185</v>
      </c>
      <c r="J120" s="7">
        <v>119</v>
      </c>
      <c r="K120" s="7" t="str">
        <f t="shared" si="0"/>
        <v>CCLF5.CLM_LINE_PRMRY_PYR_CD</v>
      </c>
      <c r="L120" s="7" t="str">
        <f>_xlfn.XLOOKUP("*'"&amp;K120&amp;"'*",Data_Dictionary[cclfMapping],Data_Dictionary[Field Name],,2)</f>
        <v>Line Primary Payer Code</v>
      </c>
      <c r="M120" s="7" t="str">
        <f>_xlfn.XLOOKUP("*'"&amp;K120&amp;"'*",Data_Dictionary[cclfMapping],Data_Dictionary[Field Name],,2)</f>
        <v>Line Primary Payer Code</v>
      </c>
      <c r="N120" s="7" t="str">
        <f>_xlfn.XLOOKUP("*'"&amp;K120&amp;"'*",Data_Dictionary[cclfMapping],Data_Dictionary[fhirPath],,2)</f>
        <v>ExplanationOfBenefit.item.extension.where(url='https://bluebutton.cms.gov/fhir/StructureDefinition/CLM-PRMRY-PYR-CD').value.code</v>
      </c>
    </row>
    <row r="121" spans="1:14" ht="24">
      <c r="A121" s="7" t="s">
        <v>2159</v>
      </c>
      <c r="B121" s="8">
        <v>18</v>
      </c>
      <c r="C121" s="7" t="s">
        <v>1191</v>
      </c>
      <c r="D121" s="7" t="s">
        <v>2151</v>
      </c>
      <c r="E121" s="8">
        <v>119</v>
      </c>
      <c r="F121" s="8">
        <v>125</v>
      </c>
      <c r="G121" s="8">
        <v>7</v>
      </c>
      <c r="H121" s="7" t="s">
        <v>1999</v>
      </c>
      <c r="I121" s="9" t="s">
        <v>2186</v>
      </c>
      <c r="J121" s="7">
        <v>120</v>
      </c>
      <c r="K121" s="7" t="str">
        <f t="shared" si="0"/>
        <v>CCLF5.CLM_LINE_DGNS_CD</v>
      </c>
      <c r="L121" s="7" t="str">
        <f>_xlfn.XLOOKUP("*'"&amp;K121&amp;"'*",Data_Dictionary[cclfMapping],Data_Dictionary[Field Name],,2)</f>
        <v>Line Item Diagnosis Code</v>
      </c>
      <c r="M121" s="7" t="str">
        <f>_xlfn.XLOOKUP("*'"&amp;K121&amp;"'*",Data_Dictionary[cclfMapping],Data_Dictionary[Field Name],,2)</f>
        <v>Line Item Diagnosis Code</v>
      </c>
      <c r="N121" s="7" t="str">
        <f>_xlfn.XLOOKUP("*'"&amp;K121&amp;"'*",Data_Dictionary[cclfMapping],Data_Dictionary[fhirPath],,2)</f>
        <v>ExplanationOfBenefit.item.diagnosisSequence</v>
      </c>
    </row>
    <row r="122" spans="1:14" ht="36">
      <c r="A122" s="7" t="s">
        <v>2159</v>
      </c>
      <c r="B122" s="8">
        <v>19</v>
      </c>
      <c r="C122" s="7" t="s">
        <v>1172</v>
      </c>
      <c r="D122" s="7" t="s">
        <v>2187</v>
      </c>
      <c r="E122" s="8">
        <v>126</v>
      </c>
      <c r="F122" s="8">
        <v>135</v>
      </c>
      <c r="G122" s="8">
        <v>10</v>
      </c>
      <c r="H122" s="7" t="s">
        <v>2022</v>
      </c>
      <c r="I122" s="9" t="s">
        <v>2188</v>
      </c>
      <c r="J122" s="7">
        <v>121</v>
      </c>
      <c r="K122" s="7" t="str">
        <f t="shared" si="0"/>
        <v>CCLF5.CLM_RNDRG_PRVDR_TAX_NUM</v>
      </c>
      <c r="L122" s="7" t="str">
        <f>_xlfn.XLOOKUP("*'"&amp;K122&amp;"'*",Data_Dictionary[cclfMapping],Data_Dictionary[Field Name],,2)</f>
        <v>Provider Tax Number</v>
      </c>
      <c r="M122" s="7" t="str">
        <f>_xlfn.XLOOKUP("*'"&amp;K122&amp;"'*",Data_Dictionary[cclfMapping],Data_Dictionary[Field Name],,2)</f>
        <v>Provider Tax Number</v>
      </c>
      <c r="N122" s="7" t="str">
        <f>_xlfn.XLOOKUP("*'"&amp;K122&amp;"'*",Data_Dictionary[cclfMapping],Data_Dictionary[fhirPath],,2)</f>
        <v>ExplanationOfBenefit.item.extension.where(url='https://bluebutton.cms.gov/fhir/StructureDefinition/CLM-PRVDR-TAX-NUM').value</v>
      </c>
    </row>
    <row r="123" spans="1:14" ht="36">
      <c r="A123" s="7" t="s">
        <v>2159</v>
      </c>
      <c r="B123" s="8">
        <v>20</v>
      </c>
      <c r="C123" s="7" t="s">
        <v>2189</v>
      </c>
      <c r="D123" s="7" t="s">
        <v>2190</v>
      </c>
      <c r="E123" s="8">
        <v>136</v>
      </c>
      <c r="F123" s="8">
        <v>145</v>
      </c>
      <c r="G123" s="8">
        <v>10</v>
      </c>
      <c r="H123" s="7" t="s">
        <v>2022</v>
      </c>
      <c r="I123" s="7" t="s">
        <v>2191</v>
      </c>
      <c r="J123" s="7">
        <v>122</v>
      </c>
      <c r="K123" s="7" t="str">
        <f t="shared" si="0"/>
        <v>CCLF5.RNDRG_PRVDR_NPI_NUM</v>
      </c>
      <c r="L123" s="7" t="str">
        <f>_xlfn.XLOOKUP("*'"&amp;K123&amp;"'*",Data_Dictionary[cclfMapping],Data_Dictionary[Field Name],,2)</f>
        <v>Rendering Provider NPI Number - Line Level</v>
      </c>
      <c r="M123" s="7" t="str">
        <f>_xlfn.XLOOKUP("*'"&amp;K123&amp;"'*",Data_Dictionary[cclfMapping],Data_Dictionary[Field Name],,2)</f>
        <v>Rendering Provider NPI Number - Line Level</v>
      </c>
      <c r="N123" s="7" t="str">
        <f>_xlfn.XLOOKUP("*'"&amp;K123&amp;"'*",Data_Dictionary[cclfMapping],Data_Dictionary[fhirPath],,2)</f>
        <v>ExplanationOfBenefit.careTeam.where(role.coding.where(code = 'rendering').exists()).provider.identifier.value</v>
      </c>
    </row>
    <row r="124" spans="1:14" ht="118.5">
      <c r="A124" s="7" t="s">
        <v>2159</v>
      </c>
      <c r="B124" s="8">
        <v>21</v>
      </c>
      <c r="C124" s="7" t="s">
        <v>1227</v>
      </c>
      <c r="D124" s="7" t="s">
        <v>2192</v>
      </c>
      <c r="E124" s="8">
        <v>146</v>
      </c>
      <c r="F124" s="8">
        <v>147</v>
      </c>
      <c r="G124" s="8">
        <v>2</v>
      </c>
      <c r="H124" s="7" t="s">
        <v>2005</v>
      </c>
      <c r="I124" s="11" t="s">
        <v>2193</v>
      </c>
      <c r="J124" s="7">
        <v>123</v>
      </c>
      <c r="K124" s="7" t="str">
        <f t="shared" si="0"/>
        <v>CCLF5.CLM_CARR_PMT_DNL_CD</v>
      </c>
      <c r="L124" s="7" t="str">
        <f>_xlfn.XLOOKUP("*'"&amp;K124&amp;"'*",Data_Dictionary[cclfMapping],Data_Dictionary[Field Name],,2)</f>
        <v>Claim Payment Denial Code</v>
      </c>
      <c r="M124" s="7" t="str">
        <f>_xlfn.XLOOKUP("*'"&amp;K124&amp;"'*",Data_Dictionary[cclfMapping],Data_Dictionary[Field Name],,2)</f>
        <v>Claim Payment Denial Code</v>
      </c>
      <c r="N124" s="7" t="str">
        <f>_xlfn.XLOOKUP("*'"&amp;K124&amp;"'*",Data_Dictionary[cclfMapping],Data_Dictionary[fhirPath],,2)</f>
        <v>ExplanationOfBenefit.supportingInfo.where(category.coding.where(system='https://bluebutton.cms.gov/fhir/CodeSystem/Supporting-Information').exists() and category.coding.where(code='CLM_CARR_PMT_DNL_CD').exists()).code.coding.code</v>
      </c>
    </row>
    <row r="125" spans="1:14" ht="107.25">
      <c r="A125" s="7" t="s">
        <v>2159</v>
      </c>
      <c r="B125" s="8">
        <v>22</v>
      </c>
      <c r="C125" s="7" t="s">
        <v>1327</v>
      </c>
      <c r="D125" s="7" t="s">
        <v>2194</v>
      </c>
      <c r="E125" s="8">
        <v>148</v>
      </c>
      <c r="F125" s="8">
        <v>149</v>
      </c>
      <c r="G125" s="8">
        <v>2</v>
      </c>
      <c r="H125" s="7" t="s">
        <v>2005</v>
      </c>
      <c r="I125" s="11" t="s">
        <v>2195</v>
      </c>
      <c r="J125" s="7">
        <v>124</v>
      </c>
      <c r="K125" s="7" t="str">
        <f t="shared" si="0"/>
        <v>CCLF5.CLM_PRCSG_IND_CD</v>
      </c>
      <c r="L125" s="7" t="str">
        <f>_xlfn.XLOOKUP("*'"&amp;K125&amp;"'*",Data_Dictionary[cclfMapping],Data_Dictionary[Field Name],,2)</f>
        <v>Processing Indicator Code</v>
      </c>
      <c r="M125" s="7" t="str">
        <f>_xlfn.XLOOKUP("*'"&amp;K125&amp;"'*",Data_Dictionary[cclfMapping],Data_Dictionary[Field Name],,2)</f>
        <v>Processing Indicator Code</v>
      </c>
      <c r="N125" s="7" t="str">
        <f>_xlfn.XLOOKUP("*'"&amp;K125&amp;"'*",Data_Dictionary[cclfMapping],Data_Dictionary[fhirPath],,2)</f>
        <v>ExplanationOfBenefit.item.extension.where(url='https://bluebutton.cms.gov/fhir/StructureDefinition/CLM-PRCSG-IND-CD').value.code</v>
      </c>
    </row>
    <row r="126" spans="1:14" ht="72">
      <c r="A126" s="7" t="s">
        <v>2159</v>
      </c>
      <c r="B126" s="8">
        <v>23</v>
      </c>
      <c r="C126" s="7" t="s">
        <v>2033</v>
      </c>
      <c r="D126" s="7" t="s">
        <v>343</v>
      </c>
      <c r="E126" s="8">
        <v>150</v>
      </c>
      <c r="F126" s="8">
        <v>151</v>
      </c>
      <c r="G126" s="8">
        <v>2</v>
      </c>
      <c r="H126" s="7" t="s">
        <v>2005</v>
      </c>
      <c r="I126" s="9" t="s">
        <v>2034</v>
      </c>
      <c r="J126" s="7">
        <v>125</v>
      </c>
      <c r="K126" s="7" t="str">
        <f t="shared" si="0"/>
        <v>CCLF5.CLM_ADJSMT_TYPE_CD</v>
      </c>
      <c r="L126" s="7" t="str">
        <f>_xlfn.XLOOKUP("*'"&amp;K126&amp;"'*",Data_Dictionary[cclfMapping],Data_Dictionary[Field Name],,2)</f>
        <v>Claim Adjustment Type Code</v>
      </c>
      <c r="M126" s="7" t="str">
        <f>_xlfn.XLOOKUP("*'"&amp;K126&amp;"'*",Data_Dictionary[cclfMapping],Data_Dictionary[Field Name],,2)</f>
        <v>Claim Adjustment Type Code</v>
      </c>
      <c r="N126" s="7" t="str">
        <f>_xlfn.XLOOKUP("*'"&amp;K126&amp;"'*",Data_Dictionary[cclfMapping],Data_Dictionary[fhirPath],,2)</f>
        <v>ExplanationOfBenefit.supportingInfo.where(category.coding.where(system='https://bluebutton.cms.gov/fhir/CodeSystem/Supporting-Information').exists() and category.coding.where(code='CLM_ADJSTMT_TYPE_CD').exists()).code.coding.code</v>
      </c>
    </row>
    <row r="127" spans="1:14" ht="36">
      <c r="A127" s="7" t="s">
        <v>2159</v>
      </c>
      <c r="B127" s="8">
        <v>24</v>
      </c>
      <c r="C127" s="7" t="s">
        <v>95</v>
      </c>
      <c r="D127" s="7" t="s">
        <v>92</v>
      </c>
      <c r="E127" s="8">
        <v>152</v>
      </c>
      <c r="F127" s="8">
        <v>161</v>
      </c>
      <c r="G127" s="8">
        <v>10</v>
      </c>
      <c r="H127" s="7" t="s">
        <v>1989</v>
      </c>
      <c r="I127" s="7" t="s">
        <v>2196</v>
      </c>
      <c r="J127" s="7">
        <v>126</v>
      </c>
      <c r="K127" s="7" t="str">
        <f t="shared" si="0"/>
        <v>CCLF5.CLM_EFCTV_DT</v>
      </c>
      <c r="L127" s="7" t="str">
        <f>_xlfn.XLOOKUP("*'"&amp;K127&amp;"'*",Data_Dictionary[cclfMapping],Data_Dictionary[Field Name],,2)</f>
        <v>Claim Effective Date</v>
      </c>
      <c r="M127" s="7" t="str">
        <f>_xlfn.XLOOKUP("*'"&amp;K127&amp;"'*",Data_Dictionary[cclfMapping],Data_Dictionary[Field Name],,2)</f>
        <v>Claim Effective Date</v>
      </c>
      <c r="N127" s="7" t="str">
        <f>_xlfn.XLOOKUP("*'"&amp;K127&amp;"'*",Data_Dictionary[cclfMapping],Data_Dictionary[fhirPath],,2)</f>
        <v>ExplanationOfBenefit.created</v>
      </c>
    </row>
    <row r="128" spans="1:14" ht="24">
      <c r="A128" s="7" t="s">
        <v>2159</v>
      </c>
      <c r="B128" s="8">
        <v>25</v>
      </c>
      <c r="C128" s="7" t="s">
        <v>362</v>
      </c>
      <c r="D128" s="7" t="s">
        <v>358</v>
      </c>
      <c r="E128" s="8">
        <v>162</v>
      </c>
      <c r="F128" s="8">
        <v>171</v>
      </c>
      <c r="G128" s="8">
        <v>10</v>
      </c>
      <c r="H128" s="7" t="s">
        <v>1989</v>
      </c>
      <c r="I128" s="7" t="s">
        <v>2036</v>
      </c>
      <c r="J128" s="7">
        <v>127</v>
      </c>
      <c r="K128" s="7" t="str">
        <f t="shared" si="0"/>
        <v>CCLF5.CLM_IDR_LD_DT</v>
      </c>
      <c r="L128" s="7" t="str">
        <f>_xlfn.XLOOKUP("*'"&amp;K128&amp;"'*",Data_Dictionary[cclfMapping],Data_Dictionary[Field Name],,2)</f>
        <v>Claim IDR Load Date</v>
      </c>
      <c r="M128" s="7" t="str">
        <f>_xlfn.XLOOKUP("*'"&amp;K128&amp;"'*",Data_Dictionary[cclfMapping],Data_Dictionary[Field Name],,2)</f>
        <v>Claim IDR Load Date</v>
      </c>
      <c r="N128" s="7" t="str">
        <f>_xlfn.XLOOKUP("*'"&amp;K128&amp;"'*",Data_Dictionary[cclfMapping],Data_Dictionary[fhirPath],,2)</f>
        <v>ExplanationOfBenefit.supportingInfo.where(category.coding.where(system='https://bluebutton.cms.gov/fhir/CodeSystem/Supporting-Information').exists() and category.coding.where(code='CLM_IDR_LD_DT').exists()).timing</v>
      </c>
    </row>
    <row r="129" spans="1:14" ht="48">
      <c r="A129" s="7" t="s">
        <v>2159</v>
      </c>
      <c r="B129" s="8">
        <v>26</v>
      </c>
      <c r="C129" s="7" t="s">
        <v>395</v>
      </c>
      <c r="D129" s="7" t="s">
        <v>392</v>
      </c>
      <c r="E129" s="8">
        <v>172</v>
      </c>
      <c r="F129" s="8">
        <v>211</v>
      </c>
      <c r="G129" s="8">
        <v>40</v>
      </c>
      <c r="H129" s="7" t="s">
        <v>2197</v>
      </c>
      <c r="I129" s="9" t="s">
        <v>2198</v>
      </c>
      <c r="J129" s="7">
        <v>128</v>
      </c>
      <c r="K129" s="7" t="str">
        <f t="shared" si="0"/>
        <v>CCLF5.CLM_CNTL_NUM</v>
      </c>
      <c r="L129" s="7" t="str">
        <f>_xlfn.XLOOKUP("*'"&amp;K129&amp;"'*",Data_Dictionary[cclfMapping],Data_Dictionary[Field Name],,2)</f>
        <v>Claim Control Number</v>
      </c>
      <c r="M129" s="7" t="str">
        <f>_xlfn.XLOOKUP("*'"&amp;K129&amp;"'*",Data_Dictionary[cclfMapping],Data_Dictionary[Field Name],,2)</f>
        <v>Claim Control Number</v>
      </c>
      <c r="N129" s="7" t="str">
        <f>_xlfn.XLOOKUP("*'"&amp;K129&amp;"'*",Data_Dictionary[cclfMapping],Data_Dictionary[fhirPath],,2)</f>
        <v>ExplanationOfBenefit.identifier.where(system = 'https://bluebutton.cms.gov/identifiers/CLM-CNTL-NUM').value</v>
      </c>
    </row>
    <row r="130" spans="1:14" ht="84">
      <c r="A130" s="7" t="s">
        <v>2159</v>
      </c>
      <c r="B130" s="8">
        <v>27</v>
      </c>
      <c r="C130" s="7" t="s">
        <v>2037</v>
      </c>
      <c r="D130" s="7" t="s">
        <v>2038</v>
      </c>
      <c r="E130" s="8">
        <v>212</v>
      </c>
      <c r="F130" s="8">
        <v>222</v>
      </c>
      <c r="G130" s="8">
        <v>11</v>
      </c>
      <c r="H130" s="7" t="s">
        <v>1982</v>
      </c>
      <c r="I130" s="9" t="s">
        <v>2199</v>
      </c>
      <c r="J130" s="7">
        <v>129</v>
      </c>
      <c r="K130" s="7" t="str">
        <f t="shared" si="0"/>
        <v>CCLF5.BENE_EQTBL_BIC_HICN_NUM</v>
      </c>
      <c r="L130" s="7" t="e">
        <f>_xlfn.XLOOKUP("*'"&amp;K130&amp;"'*",Data_Dictionary[cclfMapping],Data_Dictionary[Field Name],,2)</f>
        <v>#N/A</v>
      </c>
      <c r="M130" s="7" t="e">
        <f>_xlfn.XLOOKUP("*'"&amp;K130&amp;"'*",Data_Dictionary[cclfMapping],Data_Dictionary[Field Name],,2)</f>
        <v>#N/A</v>
      </c>
      <c r="N130" s="7" t="e">
        <f>_xlfn.XLOOKUP("*'"&amp;K130&amp;"'*",Data_Dictionary[cclfMapping],Data_Dictionary[fhirPath],,2)</f>
        <v>#N/A</v>
      </c>
    </row>
    <row r="131" spans="1:14" ht="24">
      <c r="A131" s="7" t="s">
        <v>2159</v>
      </c>
      <c r="B131" s="8">
        <v>28</v>
      </c>
      <c r="C131" s="7" t="s">
        <v>570</v>
      </c>
      <c r="D131" s="7" t="s">
        <v>2200</v>
      </c>
      <c r="E131" s="8">
        <v>223</v>
      </c>
      <c r="F131" s="8">
        <v>239</v>
      </c>
      <c r="G131" s="8">
        <v>17</v>
      </c>
      <c r="H131" s="7" t="s">
        <v>2201</v>
      </c>
      <c r="I131" s="7" t="s">
        <v>2202</v>
      </c>
      <c r="J131" s="7">
        <v>130</v>
      </c>
      <c r="K131" s="7" t="str">
        <f t="shared" si="0"/>
        <v>CCLF5.CLM_LINE_ALOWD_CHRG_AMT</v>
      </c>
      <c r="L131" s="7" t="str">
        <f>_xlfn.XLOOKUP("*'"&amp;K131&amp;"'*",Data_Dictionary[cclfMapping],Data_Dictionary[Field Name],,2)</f>
        <v>Line Item Allowed Charge Amount</v>
      </c>
      <c r="M131" s="7" t="str">
        <f>_xlfn.XLOOKUP("*'"&amp;K131&amp;"'*",Data_Dictionary[cclfMapping],Data_Dictionary[Field Name],,2)</f>
        <v>Line Item Allowed Charge Amount</v>
      </c>
      <c r="N131" s="7" t="str">
        <f>_xlfn.XLOOKUP("*'"&amp;K131&amp;"'*",Data_Dictionary[cclfMapping],Data_Dictionary[fhirPath],,2)</f>
        <v>ExplanationOfBenefit.item.adjudication.where(category.coding.where(system='https://bluebutton.cms.gov/fhir/CodeSystem/Adjudication') and category.coding.where(code='CLM_LINE_ALOWD_CHRG_AMT')).amount.value</v>
      </c>
    </row>
    <row r="132" spans="1:14" ht="36">
      <c r="A132" s="7" t="s">
        <v>2159</v>
      </c>
      <c r="B132" s="8">
        <v>29</v>
      </c>
      <c r="C132" s="7" t="s">
        <v>603</v>
      </c>
      <c r="D132" s="7" t="s">
        <v>2114</v>
      </c>
      <c r="E132" s="8">
        <v>240</v>
      </c>
      <c r="F132" s="8">
        <v>263</v>
      </c>
      <c r="G132" s="8">
        <v>24</v>
      </c>
      <c r="H132" s="7" t="s">
        <v>2115</v>
      </c>
      <c r="I132" s="7" t="s">
        <v>2203</v>
      </c>
      <c r="J132" s="7">
        <v>131</v>
      </c>
      <c r="K132" s="7" t="str">
        <f t="shared" si="0"/>
        <v>CCLF5.CLM_LINE_SRVC_UNIT_QTY</v>
      </c>
      <c r="L132" s="7" t="str">
        <f>_xlfn.XLOOKUP("*'"&amp;K132&amp;"'*",Data_Dictionary[cclfMapping],Data_Dictionary[Field Name],,2)</f>
        <v>Line Item Service Unit Quantity</v>
      </c>
      <c r="M132" s="7" t="str">
        <f>_xlfn.XLOOKUP("*'"&amp;K132&amp;"'*",Data_Dictionary[cclfMapping],Data_Dictionary[Field Name],,2)</f>
        <v>Line Item Service Unit Quantity</v>
      </c>
      <c r="N132" s="7" t="str">
        <f>_xlfn.XLOOKUP("*'"&amp;K132&amp;"'*",Data_Dictionary[cclfMapping],Data_Dictionary[fhirPath],,2)</f>
        <v>ExplanationOfBenefit.item.quantity.value</v>
      </c>
    </row>
    <row r="133" spans="1:14" ht="36">
      <c r="A133" s="7" t="s">
        <v>2159</v>
      </c>
      <c r="B133" s="8">
        <v>30</v>
      </c>
      <c r="C133" s="7" t="s">
        <v>624</v>
      </c>
      <c r="D133" s="7" t="s">
        <v>2118</v>
      </c>
      <c r="E133" s="8">
        <v>264</v>
      </c>
      <c r="F133" s="8">
        <v>265</v>
      </c>
      <c r="G133" s="8">
        <v>2</v>
      </c>
      <c r="H133" s="7" t="s">
        <v>2040</v>
      </c>
      <c r="I133" s="9" t="s">
        <v>2204</v>
      </c>
      <c r="J133" s="7">
        <v>132</v>
      </c>
      <c r="K133" s="7" t="str">
        <f t="shared" si="0"/>
        <v>CCLF5.HCPCS_1_MDFR_CD</v>
      </c>
      <c r="L133" s="7" t="str">
        <f>_xlfn.XLOOKUP("*'"&amp;K133&amp;"'*",Data_Dictionary[cclfMapping],Data_Dictionary[Field Name],,2)</f>
        <v>HCPCS Modifier Code 1</v>
      </c>
      <c r="M133" s="7" t="str">
        <f>_xlfn.XLOOKUP("*'"&amp;K133&amp;"'*",Data_Dictionary[cclfMapping],Data_Dictionary[Field Name],,2)</f>
        <v>HCPCS Modifier Code 1</v>
      </c>
      <c r="N133" s="7" t="str">
        <f>_xlfn.XLOOKUP("*'"&amp;K133&amp;"'*",Data_Dictionary[cclfMapping],Data_Dictionary[fhirPath],,2)</f>
        <v>ExplanationOfBenefit.item.modifier[0].coding.code</v>
      </c>
    </row>
    <row r="134" spans="1:14" ht="36">
      <c r="A134" s="7" t="s">
        <v>2159</v>
      </c>
      <c r="B134" s="8">
        <v>31</v>
      </c>
      <c r="C134" s="7" t="s">
        <v>631</v>
      </c>
      <c r="D134" s="9" t="s">
        <v>2120</v>
      </c>
      <c r="E134" s="8">
        <v>266</v>
      </c>
      <c r="F134" s="8">
        <v>267</v>
      </c>
      <c r="G134" s="8">
        <v>2</v>
      </c>
      <c r="H134" s="7" t="s">
        <v>2040</v>
      </c>
      <c r="I134" s="9" t="s">
        <v>2205</v>
      </c>
      <c r="J134" s="7">
        <v>133</v>
      </c>
      <c r="K134" s="7" t="str">
        <f t="shared" si="0"/>
        <v>CCLF5.HCPCS_2_MDFR_CD</v>
      </c>
      <c r="L134" s="7" t="str">
        <f>_xlfn.XLOOKUP("*'"&amp;K134&amp;"'*",Data_Dictionary[cclfMapping],Data_Dictionary[Field Name],,2)</f>
        <v>HCPCS Modifier Code 2</v>
      </c>
      <c r="M134" s="7" t="str">
        <f>_xlfn.XLOOKUP("*'"&amp;K134&amp;"'*",Data_Dictionary[cclfMapping],Data_Dictionary[Field Name],,2)</f>
        <v>HCPCS Modifier Code 2</v>
      </c>
      <c r="N134" s="7" t="str">
        <f>_xlfn.XLOOKUP("*'"&amp;K134&amp;"'*",Data_Dictionary[cclfMapping],Data_Dictionary[fhirPath],,2)</f>
        <v>ExplanationOfBenefit.item.modifier[1].coding.code</v>
      </c>
    </row>
    <row r="135" spans="1:14" ht="36">
      <c r="A135" s="7" t="s">
        <v>2159</v>
      </c>
      <c r="B135" s="8">
        <v>32</v>
      </c>
      <c r="C135" s="7" t="s">
        <v>637</v>
      </c>
      <c r="D135" s="7" t="s">
        <v>2122</v>
      </c>
      <c r="E135" s="8">
        <v>268</v>
      </c>
      <c r="F135" s="8">
        <v>269</v>
      </c>
      <c r="G135" s="8">
        <v>2</v>
      </c>
      <c r="H135" s="7" t="s">
        <v>2040</v>
      </c>
      <c r="I135" s="9" t="s">
        <v>2206</v>
      </c>
      <c r="J135" s="7">
        <v>134</v>
      </c>
      <c r="K135" s="7" t="str">
        <f t="shared" si="0"/>
        <v>CCLF5.HCPCS_3_MDFR_CD</v>
      </c>
      <c r="L135" s="7" t="str">
        <f>_xlfn.XLOOKUP("*'"&amp;K135&amp;"'*",Data_Dictionary[cclfMapping],Data_Dictionary[Field Name],,2)</f>
        <v>HCPCS Modifier Code 3</v>
      </c>
      <c r="M135" s="7" t="str">
        <f>_xlfn.XLOOKUP("*'"&amp;K135&amp;"'*",Data_Dictionary[cclfMapping],Data_Dictionary[Field Name],,2)</f>
        <v>HCPCS Modifier Code 3</v>
      </c>
      <c r="N135" s="7" t="str">
        <f>_xlfn.XLOOKUP("*'"&amp;K135&amp;"'*",Data_Dictionary[cclfMapping],Data_Dictionary[fhirPath],,2)</f>
        <v>ExplanationOfBenefit.item.modifier[2].coding.code</v>
      </c>
    </row>
    <row r="136" spans="1:14" ht="36">
      <c r="A136" s="7" t="s">
        <v>2159</v>
      </c>
      <c r="B136" s="8">
        <v>33</v>
      </c>
      <c r="C136" s="7" t="s">
        <v>643</v>
      </c>
      <c r="D136" s="7" t="s">
        <v>2124</v>
      </c>
      <c r="E136" s="8">
        <v>270</v>
      </c>
      <c r="F136" s="8">
        <v>271</v>
      </c>
      <c r="G136" s="8">
        <v>2</v>
      </c>
      <c r="H136" s="7" t="s">
        <v>2040</v>
      </c>
      <c r="I136" s="9" t="s">
        <v>2207</v>
      </c>
      <c r="J136" s="7">
        <v>135</v>
      </c>
      <c r="K136" s="7" t="str">
        <f t="shared" si="0"/>
        <v>CCLF5.HCPCS_4_MDFR_CD</v>
      </c>
      <c r="L136" s="7" t="str">
        <f>_xlfn.XLOOKUP("*'"&amp;K136&amp;"'*",Data_Dictionary[cclfMapping],Data_Dictionary[Field Name],,2)</f>
        <v>HCPCS Modifier Code 4</v>
      </c>
      <c r="M136" s="7" t="str">
        <f>_xlfn.XLOOKUP("*'"&amp;K136&amp;"'*",Data_Dictionary[cclfMapping],Data_Dictionary[Field Name],,2)</f>
        <v>HCPCS Modifier Code 4</v>
      </c>
      <c r="N136" s="7" t="str">
        <f>_xlfn.XLOOKUP("*'"&amp;K136&amp;"'*",Data_Dictionary[cclfMapping],Data_Dictionary[fhirPath],,2)</f>
        <v>ExplanationOfBenefit.item.modifier[3].coding.code</v>
      </c>
    </row>
    <row r="137" spans="1:14" ht="36">
      <c r="A137" s="7" t="s">
        <v>2159</v>
      </c>
      <c r="B137" s="8">
        <v>34</v>
      </c>
      <c r="C137" s="7" t="s">
        <v>649</v>
      </c>
      <c r="D137" s="7" t="s">
        <v>2126</v>
      </c>
      <c r="E137" s="8">
        <v>272</v>
      </c>
      <c r="F137" s="8">
        <v>273</v>
      </c>
      <c r="G137" s="8">
        <v>2</v>
      </c>
      <c r="H137" s="7" t="s">
        <v>2040</v>
      </c>
      <c r="I137" s="9" t="s">
        <v>2208</v>
      </c>
      <c r="J137" s="7">
        <v>136</v>
      </c>
      <c r="K137" s="7" t="str">
        <f t="shared" si="0"/>
        <v>CCLF5.HCPCS_5_MDFR_CD</v>
      </c>
      <c r="L137" s="7" t="str">
        <f>_xlfn.XLOOKUP("*'"&amp;K137&amp;"'*",Data_Dictionary[cclfMapping],Data_Dictionary[Field Name],,2)</f>
        <v>HCPCS Modifier Code 5</v>
      </c>
      <c r="M137" s="7" t="str">
        <f>_xlfn.XLOOKUP("*'"&amp;K137&amp;"'*",Data_Dictionary[cclfMapping],Data_Dictionary[Field Name],,2)</f>
        <v>HCPCS Modifier Code 5</v>
      </c>
      <c r="N137" s="7" t="str">
        <f>_xlfn.XLOOKUP("*'"&amp;K137&amp;"'*",Data_Dictionary[cclfMapping],Data_Dictionary[fhirPath],,2)</f>
        <v>ExplanationOfBenefit.item.modifier[4].coding.code</v>
      </c>
    </row>
    <row r="138" spans="1:14" ht="60">
      <c r="A138" s="7" t="s">
        <v>2159</v>
      </c>
      <c r="B138" s="8">
        <v>35</v>
      </c>
      <c r="C138" s="7" t="s">
        <v>899</v>
      </c>
      <c r="D138" s="7" t="s">
        <v>896</v>
      </c>
      <c r="E138" s="8">
        <v>274</v>
      </c>
      <c r="F138" s="8">
        <v>275</v>
      </c>
      <c r="G138" s="8">
        <v>2</v>
      </c>
      <c r="H138" s="7" t="s">
        <v>2040</v>
      </c>
      <c r="I138" s="9" t="s">
        <v>2209</v>
      </c>
      <c r="J138" s="7">
        <v>137</v>
      </c>
      <c r="K138" s="7" t="str">
        <f t="shared" si="0"/>
        <v>CCLF5.CLM_DISP_CD</v>
      </c>
      <c r="L138" s="7" t="str">
        <f>_xlfn.XLOOKUP("*'"&amp;K138&amp;"'*",Data_Dictionary[cclfMapping],Data_Dictionary[Field Name],,2)</f>
        <v>Claim Disposition Code</v>
      </c>
      <c r="M138" s="7" t="str">
        <f>_xlfn.XLOOKUP("*'"&amp;K138&amp;"'*",Data_Dictionary[cclfMapping],Data_Dictionary[Field Name],,2)</f>
        <v>Claim Disposition Code</v>
      </c>
      <c r="N138" s="7" t="str">
        <f>_xlfn.XLOOKUP("*'"&amp;K138&amp;"'*",Data_Dictionary[cclfMapping],Data_Dictionary[fhirPath],,2)</f>
        <v>ExplanationOfBenefit.supportingInfo.where(category.coding.where(system='https://bluebutton.cms.gov/fhir/CodeSystem/Supporting-Information').exists() and category.coding.where(code='CLM_DISP_CD').exists()).code.coding.code</v>
      </c>
    </row>
    <row r="139" spans="1:14" ht="24">
      <c r="A139" s="7" t="s">
        <v>2159</v>
      </c>
      <c r="B139" s="8">
        <v>36</v>
      </c>
      <c r="C139" s="7" t="s">
        <v>2210</v>
      </c>
      <c r="D139" s="7" t="s">
        <v>2211</v>
      </c>
      <c r="E139" s="8">
        <v>276</v>
      </c>
      <c r="F139" s="8">
        <v>282</v>
      </c>
      <c r="G139" s="8">
        <v>7</v>
      </c>
      <c r="H139" s="7" t="s">
        <v>2156</v>
      </c>
      <c r="I139" s="9" t="s">
        <v>2212</v>
      </c>
      <c r="J139" s="7">
        <v>138</v>
      </c>
      <c r="K139" s="7" t="str">
        <f t="shared" si="0"/>
        <v>CCLF5.CLM_DGNS_1_CD</v>
      </c>
      <c r="L139" s="7" t="str">
        <f>_xlfn.XLOOKUP("*'"&amp;K139&amp;"'*",Data_Dictionary[cclfMapping],Data_Dictionary[Field Name],,2)</f>
        <v>Claim Diagnosis Code</v>
      </c>
      <c r="M139" s="7" t="str">
        <f>_xlfn.XLOOKUP("*'"&amp;K139&amp;"'*",Data_Dictionary[cclfMapping],Data_Dictionary[Field Name],,2)</f>
        <v>Claim Diagnosis Code</v>
      </c>
      <c r="N139" s="7" t="str">
        <f>_xlfn.XLOOKUP("*'"&amp;K139&amp;"'*",Data_Dictionary[cclfMapping],Data_Dictionary[fhirPath],,2)</f>
        <v>ExplanationOfBenefit.diagnosis.diagnosis.coding.code</v>
      </c>
    </row>
    <row r="140" spans="1:14" ht="24">
      <c r="A140" s="7" t="s">
        <v>2159</v>
      </c>
      <c r="B140" s="8">
        <v>37</v>
      </c>
      <c r="C140" s="7" t="s">
        <v>2213</v>
      </c>
      <c r="D140" s="7" t="s">
        <v>2214</v>
      </c>
      <c r="E140" s="8">
        <v>283</v>
      </c>
      <c r="F140" s="8">
        <v>289</v>
      </c>
      <c r="G140" s="8">
        <v>7</v>
      </c>
      <c r="H140" s="7" t="s">
        <v>2156</v>
      </c>
      <c r="I140" s="9" t="s">
        <v>2215</v>
      </c>
      <c r="J140" s="7">
        <v>139</v>
      </c>
      <c r="K140" s="7" t="str">
        <f t="shared" si="0"/>
        <v>CCLF5.CLM_DGNS_2_CD</v>
      </c>
      <c r="L140" s="7" t="str">
        <f>_xlfn.XLOOKUP("*'"&amp;K140&amp;"'*",Data_Dictionary[cclfMapping],Data_Dictionary[Field Name],,2)</f>
        <v>Claim Diagnosis Code</v>
      </c>
      <c r="M140" s="7" t="str">
        <f>_xlfn.XLOOKUP("*'"&amp;K140&amp;"'*",Data_Dictionary[cclfMapping],Data_Dictionary[Field Name],,2)</f>
        <v>Claim Diagnosis Code</v>
      </c>
      <c r="N140" s="7" t="str">
        <f>_xlfn.XLOOKUP("*'"&amp;K140&amp;"'*",Data_Dictionary[cclfMapping],Data_Dictionary[fhirPath],,2)</f>
        <v>ExplanationOfBenefit.diagnosis.diagnosis.coding.code</v>
      </c>
    </row>
    <row r="141" spans="1:14" ht="24">
      <c r="A141" s="7" t="s">
        <v>2159</v>
      </c>
      <c r="B141" s="8">
        <v>38</v>
      </c>
      <c r="C141" s="7" t="s">
        <v>2216</v>
      </c>
      <c r="D141" s="7" t="s">
        <v>2217</v>
      </c>
      <c r="E141" s="8">
        <v>290</v>
      </c>
      <c r="F141" s="8">
        <v>296</v>
      </c>
      <c r="G141" s="8">
        <v>7</v>
      </c>
      <c r="H141" s="7" t="s">
        <v>2156</v>
      </c>
      <c r="I141" s="9" t="s">
        <v>2218</v>
      </c>
      <c r="J141" s="7">
        <v>140</v>
      </c>
      <c r="K141" s="7" t="str">
        <f t="shared" si="0"/>
        <v>CCLF5.CLM_DGNS_3_CD</v>
      </c>
      <c r="L141" s="7" t="str">
        <f>_xlfn.XLOOKUP("*'"&amp;K141&amp;"'*",Data_Dictionary[cclfMapping],Data_Dictionary[Field Name],,2)</f>
        <v>Claim Diagnosis Code</v>
      </c>
      <c r="M141" s="7" t="str">
        <f>_xlfn.XLOOKUP("*'"&amp;K141&amp;"'*",Data_Dictionary[cclfMapping],Data_Dictionary[Field Name],,2)</f>
        <v>Claim Diagnosis Code</v>
      </c>
      <c r="N141" s="7" t="str">
        <f>_xlfn.XLOOKUP("*'"&amp;K141&amp;"'*",Data_Dictionary[cclfMapping],Data_Dictionary[fhirPath],,2)</f>
        <v>ExplanationOfBenefit.diagnosis.diagnosis.coding.code</v>
      </c>
    </row>
    <row r="142" spans="1:14" ht="24">
      <c r="A142" s="7" t="s">
        <v>2159</v>
      </c>
      <c r="B142" s="8">
        <v>39</v>
      </c>
      <c r="C142" s="7" t="s">
        <v>2219</v>
      </c>
      <c r="D142" s="7" t="s">
        <v>2220</v>
      </c>
      <c r="E142" s="8">
        <v>297</v>
      </c>
      <c r="F142" s="8">
        <v>303</v>
      </c>
      <c r="G142" s="8">
        <v>7</v>
      </c>
      <c r="H142" s="7" t="s">
        <v>2156</v>
      </c>
      <c r="I142" s="9" t="s">
        <v>2221</v>
      </c>
      <c r="J142" s="7">
        <v>141</v>
      </c>
      <c r="K142" s="7" t="str">
        <f t="shared" si="0"/>
        <v>CCLF5.CLM_DGNS_4_CD</v>
      </c>
      <c r="L142" s="7" t="str">
        <f>_xlfn.XLOOKUP("*'"&amp;K142&amp;"'*",Data_Dictionary[cclfMapping],Data_Dictionary[Field Name],,2)</f>
        <v>Claim Diagnosis Code</v>
      </c>
      <c r="M142" s="7" t="str">
        <f>_xlfn.XLOOKUP("*'"&amp;K142&amp;"'*",Data_Dictionary[cclfMapping],Data_Dictionary[Field Name],,2)</f>
        <v>Claim Diagnosis Code</v>
      </c>
      <c r="N142" s="7" t="str">
        <f>_xlfn.XLOOKUP("*'"&amp;K142&amp;"'*",Data_Dictionary[cclfMapping],Data_Dictionary[fhirPath],,2)</f>
        <v>ExplanationOfBenefit.diagnosis.diagnosis.coding.code</v>
      </c>
    </row>
    <row r="143" spans="1:14" ht="24">
      <c r="A143" s="7" t="s">
        <v>2159</v>
      </c>
      <c r="B143" s="8">
        <v>40</v>
      </c>
      <c r="C143" s="7" t="s">
        <v>2222</v>
      </c>
      <c r="D143" s="7" t="s">
        <v>2223</v>
      </c>
      <c r="E143" s="8">
        <v>304</v>
      </c>
      <c r="F143" s="8">
        <v>310</v>
      </c>
      <c r="G143" s="8">
        <v>7</v>
      </c>
      <c r="H143" s="7" t="s">
        <v>2156</v>
      </c>
      <c r="I143" s="9" t="s">
        <v>2224</v>
      </c>
      <c r="J143" s="7">
        <v>142</v>
      </c>
      <c r="K143" s="7" t="str">
        <f t="shared" si="0"/>
        <v>CCLF5.CLM_DGNS_5_CD</v>
      </c>
      <c r="L143" s="7" t="str">
        <f>_xlfn.XLOOKUP("*'"&amp;K143&amp;"'*",Data_Dictionary[cclfMapping],Data_Dictionary[Field Name],,2)</f>
        <v>Claim Diagnosis Code</v>
      </c>
      <c r="M143" s="7" t="str">
        <f>_xlfn.XLOOKUP("*'"&amp;K143&amp;"'*",Data_Dictionary[cclfMapping],Data_Dictionary[Field Name],,2)</f>
        <v>Claim Diagnosis Code</v>
      </c>
      <c r="N143" s="7" t="str">
        <f>_xlfn.XLOOKUP("*'"&amp;K143&amp;"'*",Data_Dictionary[cclfMapping],Data_Dictionary[fhirPath],,2)</f>
        <v>ExplanationOfBenefit.diagnosis.diagnosis.coding.code</v>
      </c>
    </row>
    <row r="144" spans="1:14" ht="24">
      <c r="A144" s="7" t="s">
        <v>2159</v>
      </c>
      <c r="B144" s="8">
        <v>41</v>
      </c>
      <c r="C144" s="7" t="s">
        <v>2225</v>
      </c>
      <c r="D144" s="7" t="s">
        <v>2226</v>
      </c>
      <c r="E144" s="8">
        <v>311</v>
      </c>
      <c r="F144" s="8">
        <v>317</v>
      </c>
      <c r="G144" s="8">
        <v>7</v>
      </c>
      <c r="H144" s="7" t="s">
        <v>2156</v>
      </c>
      <c r="I144" s="9" t="s">
        <v>2227</v>
      </c>
      <c r="J144" s="7">
        <v>143</v>
      </c>
      <c r="K144" s="7" t="str">
        <f t="shared" si="0"/>
        <v>CCLF5.CLM_DGNS_6_CD</v>
      </c>
      <c r="L144" s="7" t="str">
        <f>_xlfn.XLOOKUP("*'"&amp;K144&amp;"'*",Data_Dictionary[cclfMapping],Data_Dictionary[Field Name],,2)</f>
        <v>Claim Diagnosis Code</v>
      </c>
      <c r="M144" s="7" t="str">
        <f>_xlfn.XLOOKUP("*'"&amp;K144&amp;"'*",Data_Dictionary[cclfMapping],Data_Dictionary[Field Name],,2)</f>
        <v>Claim Diagnosis Code</v>
      </c>
      <c r="N144" s="7" t="str">
        <f>_xlfn.XLOOKUP("*'"&amp;K144&amp;"'*",Data_Dictionary[cclfMapping],Data_Dictionary[fhirPath],,2)</f>
        <v>ExplanationOfBenefit.diagnosis.diagnosis.coding.code</v>
      </c>
    </row>
    <row r="145" spans="1:14" ht="24">
      <c r="A145" s="7" t="s">
        <v>2159</v>
      </c>
      <c r="B145" s="8">
        <v>42</v>
      </c>
      <c r="C145" s="7" t="s">
        <v>2228</v>
      </c>
      <c r="D145" s="7" t="s">
        <v>2229</v>
      </c>
      <c r="E145" s="8">
        <v>318</v>
      </c>
      <c r="F145" s="8">
        <v>324</v>
      </c>
      <c r="G145" s="8">
        <v>7</v>
      </c>
      <c r="H145" s="7" t="s">
        <v>2156</v>
      </c>
      <c r="I145" s="9" t="s">
        <v>2230</v>
      </c>
      <c r="J145" s="7">
        <v>144</v>
      </c>
      <c r="K145" s="7" t="str">
        <f t="shared" si="0"/>
        <v>CCLF5.CLM_DGNS_7_CD</v>
      </c>
      <c r="L145" s="7" t="str">
        <f>_xlfn.XLOOKUP("*'"&amp;K145&amp;"'*",Data_Dictionary[cclfMapping],Data_Dictionary[Field Name],,2)</f>
        <v>Claim Diagnosis Code</v>
      </c>
      <c r="M145" s="7" t="str">
        <f>_xlfn.XLOOKUP("*'"&amp;K145&amp;"'*",Data_Dictionary[cclfMapping],Data_Dictionary[Field Name],,2)</f>
        <v>Claim Diagnosis Code</v>
      </c>
      <c r="N145" s="7" t="str">
        <f>_xlfn.XLOOKUP("*'"&amp;K145&amp;"'*",Data_Dictionary[cclfMapping],Data_Dictionary[fhirPath],,2)</f>
        <v>ExplanationOfBenefit.diagnosis.diagnosis.coding.code</v>
      </c>
    </row>
    <row r="146" spans="1:14" ht="24">
      <c r="A146" s="7" t="s">
        <v>2159</v>
      </c>
      <c r="B146" s="8">
        <v>43</v>
      </c>
      <c r="C146" s="7" t="s">
        <v>2231</v>
      </c>
      <c r="D146" s="7" t="s">
        <v>2232</v>
      </c>
      <c r="E146" s="8">
        <v>325</v>
      </c>
      <c r="F146" s="8">
        <v>331</v>
      </c>
      <c r="G146" s="8">
        <v>7</v>
      </c>
      <c r="H146" s="7" t="s">
        <v>2156</v>
      </c>
      <c r="I146" s="9" t="s">
        <v>2233</v>
      </c>
      <c r="J146" s="7">
        <v>145</v>
      </c>
      <c r="K146" s="7" t="str">
        <f t="shared" si="0"/>
        <v>CCLF5.CLM_DGNS_8_CD</v>
      </c>
      <c r="L146" s="7" t="str">
        <f>_xlfn.XLOOKUP("*'"&amp;K146&amp;"'*",Data_Dictionary[cclfMapping],Data_Dictionary[Field Name],,2)</f>
        <v>Claim Diagnosis Code</v>
      </c>
      <c r="M146" s="7" t="str">
        <f>_xlfn.XLOOKUP("*'"&amp;K146&amp;"'*",Data_Dictionary[cclfMapping],Data_Dictionary[Field Name],,2)</f>
        <v>Claim Diagnosis Code</v>
      </c>
      <c r="N146" s="7" t="str">
        <f>_xlfn.XLOOKUP("*'"&amp;K146&amp;"'*",Data_Dictionary[cclfMapping],Data_Dictionary[fhirPath],,2)</f>
        <v>ExplanationOfBenefit.diagnosis.diagnosis.coding.code</v>
      </c>
    </row>
    <row r="147" spans="1:14" ht="36">
      <c r="A147" s="7" t="s">
        <v>2159</v>
      </c>
      <c r="B147" s="8">
        <v>44</v>
      </c>
      <c r="C147" s="7" t="s">
        <v>2047</v>
      </c>
      <c r="D147" s="7" t="s">
        <v>2048</v>
      </c>
      <c r="E147" s="8">
        <v>332</v>
      </c>
      <c r="F147" s="8">
        <v>332</v>
      </c>
      <c r="G147" s="8">
        <v>1</v>
      </c>
      <c r="H147" s="7" t="s">
        <v>1964</v>
      </c>
      <c r="I147" s="9" t="s">
        <v>2049</v>
      </c>
      <c r="J147" s="7">
        <v>146</v>
      </c>
      <c r="K147" s="7" t="str">
        <f t="shared" si="0"/>
        <v>CCLF5.DGNS_PRCDR_ICD_IND</v>
      </c>
      <c r="L147" s="7" t="str">
        <f>_xlfn.XLOOKUP("*'"&amp;K147&amp;"'*",Data_Dictionary[cclfMapping],Data_Dictionary[Field Name],,2)</f>
        <v>Diagnosis Procedure ICD indicator</v>
      </c>
      <c r="M147" s="7" t="str">
        <f>_xlfn.XLOOKUP("*'"&amp;K147&amp;"'*",Data_Dictionary[cclfMapping],Data_Dictionary[Field Name],,2)</f>
        <v>Diagnosis Procedure ICD indicator</v>
      </c>
      <c r="N147" s="7" t="str">
        <f>_xlfn.XLOOKUP("*'"&amp;K147&amp;"'*",Data_Dictionary[cclfMapping],Data_Dictionary[fhirPath],,2)</f>
        <v>ExplanationOfBenefit.diagnosis.diagnosis.coding.system</v>
      </c>
    </row>
    <row r="148" spans="1:14" ht="24">
      <c r="A148" s="7" t="s">
        <v>2159</v>
      </c>
      <c r="B148" s="8">
        <v>45</v>
      </c>
      <c r="C148" s="7" t="s">
        <v>2234</v>
      </c>
      <c r="D148" s="7" t="s">
        <v>2235</v>
      </c>
      <c r="E148" s="8">
        <v>333</v>
      </c>
      <c r="F148" s="8">
        <v>339</v>
      </c>
      <c r="G148" s="8">
        <v>7</v>
      </c>
      <c r="H148" s="7" t="s">
        <v>2156</v>
      </c>
      <c r="I148" s="9" t="s">
        <v>2236</v>
      </c>
      <c r="J148" s="7">
        <v>147</v>
      </c>
      <c r="K148" s="7" t="str">
        <f t="shared" si="0"/>
        <v>CCLF5.CLM_DGNS_9_CD</v>
      </c>
      <c r="L148" s="7" t="str">
        <f>_xlfn.XLOOKUP("*'"&amp;K148&amp;"'*",Data_Dictionary[cclfMapping],Data_Dictionary[Field Name],,2)</f>
        <v>Claim Diagnosis Code</v>
      </c>
      <c r="M148" s="7" t="str">
        <f>_xlfn.XLOOKUP("*'"&amp;K148&amp;"'*",Data_Dictionary[cclfMapping],Data_Dictionary[Field Name],,2)</f>
        <v>Claim Diagnosis Code</v>
      </c>
      <c r="N148" s="7" t="str">
        <f>_xlfn.XLOOKUP("*'"&amp;K148&amp;"'*",Data_Dictionary[cclfMapping],Data_Dictionary[fhirPath],,2)</f>
        <v>ExplanationOfBenefit.diagnosis.diagnosis.coding.code</v>
      </c>
    </row>
    <row r="149" spans="1:14" ht="24">
      <c r="A149" s="7" t="s">
        <v>2159</v>
      </c>
      <c r="B149" s="8">
        <v>46</v>
      </c>
      <c r="C149" s="7" t="s">
        <v>2237</v>
      </c>
      <c r="D149" s="7" t="s">
        <v>2238</v>
      </c>
      <c r="E149" s="8">
        <v>340</v>
      </c>
      <c r="F149" s="8">
        <v>346</v>
      </c>
      <c r="G149" s="8">
        <v>7</v>
      </c>
      <c r="H149" s="7" t="s">
        <v>2156</v>
      </c>
      <c r="I149" s="9" t="s">
        <v>2239</v>
      </c>
      <c r="J149" s="7">
        <v>148</v>
      </c>
      <c r="K149" s="7" t="str">
        <f t="shared" si="0"/>
        <v>CCLF5.CLM_DGNS_10_CD</v>
      </c>
      <c r="L149" s="7" t="str">
        <f>_xlfn.XLOOKUP("*'"&amp;K149&amp;"'*",Data_Dictionary[cclfMapping],Data_Dictionary[Field Name],,2)</f>
        <v>Claim Diagnosis Code</v>
      </c>
      <c r="M149" s="7" t="str">
        <f>_xlfn.XLOOKUP("*'"&amp;K149&amp;"'*",Data_Dictionary[cclfMapping],Data_Dictionary[Field Name],,2)</f>
        <v>Claim Diagnosis Code</v>
      </c>
      <c r="N149" s="7" t="str">
        <f>_xlfn.XLOOKUP("*'"&amp;K149&amp;"'*",Data_Dictionary[cclfMapping],Data_Dictionary[fhirPath],,2)</f>
        <v>ExplanationOfBenefit.diagnosis.diagnosis.coding.code</v>
      </c>
    </row>
    <row r="150" spans="1:14" ht="24">
      <c r="A150" s="7" t="s">
        <v>2159</v>
      </c>
      <c r="B150" s="8">
        <v>47</v>
      </c>
      <c r="C150" s="7" t="s">
        <v>2240</v>
      </c>
      <c r="D150" s="7" t="s">
        <v>2241</v>
      </c>
      <c r="E150" s="8">
        <v>347</v>
      </c>
      <c r="F150" s="8">
        <v>353</v>
      </c>
      <c r="G150" s="8">
        <v>7</v>
      </c>
      <c r="H150" s="7" t="s">
        <v>2156</v>
      </c>
      <c r="I150" s="9" t="s">
        <v>2242</v>
      </c>
      <c r="J150" s="7">
        <v>149</v>
      </c>
      <c r="K150" s="7" t="str">
        <f t="shared" si="0"/>
        <v>CCLF5.CLM_DGNS_11_CD</v>
      </c>
      <c r="L150" s="7" t="str">
        <f>_xlfn.XLOOKUP("*'"&amp;K150&amp;"'*",Data_Dictionary[cclfMapping],Data_Dictionary[Field Name],,2)</f>
        <v>Claim Diagnosis Code</v>
      </c>
      <c r="M150" s="7" t="str">
        <f>_xlfn.XLOOKUP("*'"&amp;K150&amp;"'*",Data_Dictionary[cclfMapping],Data_Dictionary[Field Name],,2)</f>
        <v>Claim Diagnosis Code</v>
      </c>
      <c r="N150" s="7" t="str">
        <f>_xlfn.XLOOKUP("*'"&amp;K150&amp;"'*",Data_Dictionary[cclfMapping],Data_Dictionary[fhirPath],,2)</f>
        <v>ExplanationOfBenefit.diagnosis.diagnosis.coding.code</v>
      </c>
    </row>
    <row r="151" spans="1:14" ht="24">
      <c r="A151" s="7" t="s">
        <v>2159</v>
      </c>
      <c r="B151" s="8">
        <v>48</v>
      </c>
      <c r="C151" s="7" t="s">
        <v>2243</v>
      </c>
      <c r="D151" s="7" t="s">
        <v>2244</v>
      </c>
      <c r="E151" s="8">
        <v>354</v>
      </c>
      <c r="F151" s="8">
        <v>360</v>
      </c>
      <c r="G151" s="8">
        <v>7</v>
      </c>
      <c r="H151" s="7" t="s">
        <v>2156</v>
      </c>
      <c r="I151" s="9" t="s">
        <v>2245</v>
      </c>
      <c r="J151" s="7">
        <v>150</v>
      </c>
      <c r="K151" s="7" t="str">
        <f t="shared" si="0"/>
        <v>CCLF5.CLM_DGNS_12_CD</v>
      </c>
      <c r="L151" s="7" t="str">
        <f>_xlfn.XLOOKUP("*'"&amp;K151&amp;"'*",Data_Dictionary[cclfMapping],Data_Dictionary[Field Name],,2)</f>
        <v>Claim Diagnosis Code</v>
      </c>
      <c r="M151" s="7" t="str">
        <f>_xlfn.XLOOKUP("*'"&amp;K151&amp;"'*",Data_Dictionary[cclfMapping],Data_Dictionary[Field Name],,2)</f>
        <v>Claim Diagnosis Code</v>
      </c>
      <c r="N151" s="7" t="str">
        <f>_xlfn.XLOOKUP("*'"&amp;K151&amp;"'*",Data_Dictionary[cclfMapping],Data_Dictionary[fhirPath],,2)</f>
        <v>ExplanationOfBenefit.diagnosis.diagnosis.coding.code</v>
      </c>
    </row>
    <row r="152" spans="1:14" ht="24">
      <c r="A152" s="7" t="s">
        <v>2159</v>
      </c>
      <c r="B152" s="8">
        <v>49</v>
      </c>
      <c r="C152" s="7" t="s">
        <v>2246</v>
      </c>
      <c r="D152" s="9" t="s">
        <v>2247</v>
      </c>
      <c r="E152" s="8">
        <v>361</v>
      </c>
      <c r="F152" s="8">
        <v>363</v>
      </c>
      <c r="G152" s="8">
        <v>3</v>
      </c>
      <c r="H152" s="7" t="s">
        <v>2248</v>
      </c>
      <c r="I152" s="7" t="s">
        <v>2249</v>
      </c>
      <c r="J152" s="7">
        <v>151</v>
      </c>
      <c r="K152" s="7" t="str">
        <f t="shared" si="0"/>
        <v>CCLF5.HCPCS_BETOS_CD</v>
      </c>
      <c r="L152" s="7" t="e">
        <f>_xlfn.XLOOKUP("*'"&amp;K152&amp;"'*",Data_Dictionary[cclfMapping],Data_Dictionary[Field Name],,2)</f>
        <v>#N/A</v>
      </c>
      <c r="M152" s="7" t="e">
        <f>_xlfn.XLOOKUP("*'"&amp;K152&amp;"'*",Data_Dictionary[cclfMapping],Data_Dictionary[Field Name],,2)</f>
        <v>#N/A</v>
      </c>
      <c r="N152" s="7" t="e">
        <f>_xlfn.XLOOKUP("*'"&amp;K152&amp;"'*",Data_Dictionary[cclfMapping],Data_Dictionary[fhirPath],,2)</f>
        <v>#N/A</v>
      </c>
    </row>
    <row r="153" spans="1:14" ht="130.5">
      <c r="A153" s="7" t="s">
        <v>2159</v>
      </c>
      <c r="B153" s="8">
        <v>50</v>
      </c>
      <c r="C153" s="7" t="s">
        <v>2250</v>
      </c>
      <c r="D153" s="7" t="s">
        <v>2251</v>
      </c>
      <c r="E153" s="8">
        <v>364</v>
      </c>
      <c r="F153" s="8">
        <v>373</v>
      </c>
      <c r="G153" s="8">
        <v>10</v>
      </c>
      <c r="H153" s="7" t="s">
        <v>2022</v>
      </c>
      <c r="I153" s="9" t="s">
        <v>2252</v>
      </c>
      <c r="J153" s="7">
        <v>152</v>
      </c>
      <c r="K153" s="7" t="str">
        <f t="shared" si="0"/>
        <v>CCLF5.CLM_RNDRG_PRVDR_NPI_NUM</v>
      </c>
      <c r="L153" s="7" t="str">
        <f>_xlfn.XLOOKUP("*'"&amp;K153&amp;"'*",Data_Dictionary[cclfMapping],Data_Dictionary[Field Name],,2)</f>
        <v>Rendering Provider NPI Number - Line Level</v>
      </c>
      <c r="M153" s="7" t="str">
        <f>_xlfn.XLOOKUP("*'"&amp;K153&amp;"'*",Data_Dictionary[cclfMapping],Data_Dictionary[Field Name],,2)</f>
        <v>Rendering Provider NPI Number - Line Level</v>
      </c>
      <c r="N153" s="7" t="str">
        <f>_xlfn.XLOOKUP("*'"&amp;K153&amp;"'*",Data_Dictionary[cclfMapping],Data_Dictionary[fhirPath],,2)</f>
        <v>ExplanationOfBenefit.careTeam.where(role.coding.where(code = 'rendering').exists()).provider.identifier.value</v>
      </c>
    </row>
    <row r="154" spans="1:14" ht="36">
      <c r="A154" s="7" t="s">
        <v>2159</v>
      </c>
      <c r="B154" s="8">
        <v>51</v>
      </c>
      <c r="C154" s="7" t="s">
        <v>2253</v>
      </c>
      <c r="D154" s="7" t="s">
        <v>2254</v>
      </c>
      <c r="E154" s="8">
        <v>374</v>
      </c>
      <c r="F154" s="8">
        <v>383</v>
      </c>
      <c r="G154" s="8">
        <v>10</v>
      </c>
      <c r="H154" s="7" t="s">
        <v>2022</v>
      </c>
      <c r="I154" s="9" t="s">
        <v>2255</v>
      </c>
      <c r="J154" s="7">
        <v>153</v>
      </c>
      <c r="K154" s="7" t="str">
        <f t="shared" si="0"/>
        <v>CCLF5.CLM_RFRG_PRVDR_NPI_NUM</v>
      </c>
      <c r="L154" s="7" t="str">
        <f>_xlfn.XLOOKUP("*'"&amp;K154&amp;"'*",Data_Dictionary[cclfMapping],Data_Dictionary[Field Name],,2)</f>
        <v>Referring Provider NPI Number</v>
      </c>
      <c r="M154" s="7" t="str">
        <f>_xlfn.XLOOKUP("*'"&amp;K154&amp;"'*",Data_Dictionary[cclfMapping],Data_Dictionary[Field Name],,2)</f>
        <v>Referring Provider NPI Number</v>
      </c>
      <c r="N154" s="7" t="str">
        <f>_xlfn.XLOOKUP("*'"&amp;K154&amp;"'*",Data_Dictionary[cclfMapping],Data_Dictionary[fhirPath],,2)</f>
        <v>ExplanationOfBenefit.careTeam.where(role.coding.where(code = 'referring').exists()).provider.identifier.value</v>
      </c>
    </row>
    <row r="155" spans="1:14" ht="24">
      <c r="A155" s="7" t="s">
        <v>2159</v>
      </c>
      <c r="B155" s="8">
        <v>52</v>
      </c>
      <c r="C155" s="7" t="s">
        <v>983</v>
      </c>
      <c r="D155" s="7" t="s">
        <v>2256</v>
      </c>
      <c r="E155" s="8">
        <v>384</v>
      </c>
      <c r="F155" s="8">
        <v>388</v>
      </c>
      <c r="G155" s="8">
        <v>5</v>
      </c>
      <c r="H155" s="7" t="s">
        <v>2129</v>
      </c>
      <c r="I155" s="7" t="s">
        <v>2090</v>
      </c>
      <c r="J155" s="7">
        <v>154</v>
      </c>
      <c r="K155" s="7" t="str">
        <f t="shared" si="0"/>
        <v>CCLF5.CLM_CNTRCTR_NUM</v>
      </c>
      <c r="L155" s="7" t="str">
        <f>_xlfn.XLOOKUP("*'"&amp;K155&amp;"'*",Data_Dictionary[cclfMapping],Data_Dictionary[Field Name],,2)</f>
        <v>FI Number</v>
      </c>
      <c r="M155" s="7" t="str">
        <f>_xlfn.XLOOKUP("*'"&amp;K155&amp;"'*",Data_Dictionary[cclfMapping],Data_Dictionary[Field Name],,2)</f>
        <v>FI Number</v>
      </c>
      <c r="N155" s="7" t="str">
        <f>_xlfn.XLOOKUP("*'"&amp;K155&amp;"'*",Data_Dictionary[cclfMapping],Data_Dictionary[fhirPath],,2)</f>
        <v>ExplanationOfBenefit.supportingInfo.where(category.coding.where(system='https://bluebutton.cms.gov/fhir/CodeSystem/Supporting-Information').exists() and category.coding.where(code='CLM_CNTRCTR_NUM').exists()).code.coding.code</v>
      </c>
    </row>
    <row r="156" spans="1:14" ht="36">
      <c r="A156" s="7" t="s">
        <v>2257</v>
      </c>
      <c r="B156" s="8">
        <v>1</v>
      </c>
      <c r="C156" s="7" t="s">
        <v>1974</v>
      </c>
      <c r="D156" s="7" t="s">
        <v>1975</v>
      </c>
      <c r="E156" s="8">
        <v>1</v>
      </c>
      <c r="F156" s="8">
        <v>13</v>
      </c>
      <c r="G156" s="8">
        <v>13</v>
      </c>
      <c r="H156" s="7" t="s">
        <v>1976</v>
      </c>
      <c r="I156" s="9" t="s">
        <v>1977</v>
      </c>
      <c r="J156" s="7">
        <v>155</v>
      </c>
      <c r="K156" s="7" t="str">
        <f t="shared" si="0"/>
        <v>CCLF6.CUR_CLM_UNIQ_ID</v>
      </c>
      <c r="L156" s="7" t="str">
        <f>_xlfn.XLOOKUP("*'"&amp;K156&amp;"'*",Data_Dictionary[cclfMapping],Data_Dictionary[Field Name],,2)</f>
        <v>The claim unique ID is a unique ID for the claim within the source system.</v>
      </c>
      <c r="M156" s="7" t="str">
        <f>_xlfn.XLOOKUP("*'"&amp;K156&amp;"'*",Data_Dictionary[cclfMapping],Data_Dictionary[Field Name],,2)</f>
        <v>The claim unique ID is a unique ID for the claim within the source system.</v>
      </c>
      <c r="N156" s="7" t="str">
        <f>_xlfn.XLOOKUP("*'"&amp;K156&amp;"'*",Data_Dictionary[cclfMapping],Data_Dictionary[fhirPath],,2)</f>
        <v>ExplanationOfBenefit.identifier.where(type.coding.system = 'http://hl7.org/fhir/us/carin-bb/CodeSystem/C4BBIdentifierType' and type.coding.code = 'uc' ).value</v>
      </c>
    </row>
    <row r="157" spans="1:14" ht="12.75">
      <c r="A157" s="7" t="s">
        <v>2257</v>
      </c>
      <c r="B157" s="8">
        <v>2</v>
      </c>
      <c r="C157" s="7" t="s">
        <v>195</v>
      </c>
      <c r="D157" s="7" t="s">
        <v>2092</v>
      </c>
      <c r="E157" s="8">
        <v>14</v>
      </c>
      <c r="F157" s="8">
        <v>23</v>
      </c>
      <c r="G157" s="8">
        <v>10</v>
      </c>
      <c r="H157" s="7" t="s">
        <v>2093</v>
      </c>
      <c r="I157" s="7" t="s">
        <v>2094</v>
      </c>
      <c r="J157" s="7">
        <v>156</v>
      </c>
      <c r="K157" s="7" t="str">
        <f t="shared" si="0"/>
        <v>CCLF6.CLM_LINE_NUM</v>
      </c>
      <c r="L157" s="7" t="str">
        <f>_xlfn.XLOOKUP("*'"&amp;K157&amp;"'*",Data_Dictionary[cclfMapping],Data_Dictionary[Field Name],,2)</f>
        <v>Line Item Sequence Number</v>
      </c>
      <c r="M157" s="7" t="str">
        <f>_xlfn.XLOOKUP("*'"&amp;K157&amp;"'*",Data_Dictionary[cclfMapping],Data_Dictionary[Field Name],,2)</f>
        <v>Line Item Sequence Number</v>
      </c>
      <c r="N157" s="7" t="str">
        <f>_xlfn.XLOOKUP("*'"&amp;K157&amp;"'*",Data_Dictionary[cclfMapping],Data_Dictionary[fhirPath],,2)</f>
        <v>ExplanationOfBenefit.item.sequence</v>
      </c>
    </row>
    <row r="158" spans="1:14" ht="24">
      <c r="A158" s="7" t="s">
        <v>2257</v>
      </c>
      <c r="B158" s="8">
        <v>3</v>
      </c>
      <c r="C158" s="7" t="s">
        <v>1739</v>
      </c>
      <c r="D158" s="7" t="s">
        <v>1734</v>
      </c>
      <c r="E158" s="8">
        <v>24</v>
      </c>
      <c r="F158" s="8">
        <v>34</v>
      </c>
      <c r="G158" s="8">
        <v>11</v>
      </c>
      <c r="H158" s="7" t="s">
        <v>1982</v>
      </c>
      <c r="I158" s="9" t="s">
        <v>2161</v>
      </c>
      <c r="J158" s="7">
        <v>157</v>
      </c>
      <c r="K158" s="7" t="str">
        <f t="shared" si="0"/>
        <v>CCLF6.BENE_MBI_ID</v>
      </c>
      <c r="L158" s="7" t="str">
        <f>_xlfn.XLOOKUP("*'"&amp;K158&amp;"'*",Data_Dictionary[cclfMapping],Data_Dictionary[Field Name],,2)</f>
        <v>Medicare Beneficiary Identifier</v>
      </c>
      <c r="M158" s="7" t="str">
        <f>_xlfn.XLOOKUP("*'"&amp;K158&amp;"'*",Data_Dictionary[cclfMapping],Data_Dictionary[Field Name],,2)</f>
        <v>Medicare Beneficiary Identifier</v>
      </c>
      <c r="N158" s="7" t="str">
        <f>_xlfn.XLOOKUP("*'"&amp;K158&amp;"'*",Data_Dictionary[cclfMapping],Data_Dictionary[fhirPath],,2)</f>
        <v>Patient.identifier.where(system='http://hl7.org/fhir/sid/us-mbi').value</v>
      </c>
    </row>
    <row r="159" spans="1:14" ht="84">
      <c r="A159" s="7" t="s">
        <v>2257</v>
      </c>
      <c r="B159" s="8">
        <v>4</v>
      </c>
      <c r="C159" s="7" t="s">
        <v>1984</v>
      </c>
      <c r="D159" s="7" t="s">
        <v>1985</v>
      </c>
      <c r="E159" s="8">
        <v>35</v>
      </c>
      <c r="F159" s="8">
        <v>45</v>
      </c>
      <c r="G159" s="8">
        <v>11</v>
      </c>
      <c r="H159" s="7" t="s">
        <v>1982</v>
      </c>
      <c r="I159" s="9" t="s">
        <v>2135</v>
      </c>
      <c r="J159" s="7">
        <v>158</v>
      </c>
      <c r="K159" s="7" t="str">
        <f t="shared" si="0"/>
        <v>CCLF6.BENE_HIC_NUM</v>
      </c>
      <c r="L159" s="7" t="e">
        <f>_xlfn.XLOOKUP("*'"&amp;K159&amp;"'*",Data_Dictionary[cclfMapping],Data_Dictionary[Field Name],,2)</f>
        <v>#N/A</v>
      </c>
      <c r="M159" s="7" t="e">
        <f>_xlfn.XLOOKUP("*'"&amp;K159&amp;"'*",Data_Dictionary[cclfMapping],Data_Dictionary[Field Name],,2)</f>
        <v>#N/A</v>
      </c>
      <c r="N159" s="7" t="e">
        <f>_xlfn.XLOOKUP("*'"&amp;K159&amp;"'*",Data_Dictionary[cclfMapping],Data_Dictionary[fhirPath],,2)</f>
        <v>#N/A</v>
      </c>
    </row>
    <row r="160" spans="1:14" ht="60">
      <c r="A160" s="7" t="s">
        <v>2257</v>
      </c>
      <c r="B160" s="8">
        <v>5</v>
      </c>
      <c r="C160" s="7" t="s">
        <v>77</v>
      </c>
      <c r="D160" s="7" t="s">
        <v>73</v>
      </c>
      <c r="E160" s="8">
        <v>46</v>
      </c>
      <c r="F160" s="8">
        <v>47</v>
      </c>
      <c r="G160" s="8">
        <v>2</v>
      </c>
      <c r="H160" s="7" t="s">
        <v>1987</v>
      </c>
      <c r="I160" s="9" t="s">
        <v>2258</v>
      </c>
      <c r="J160" s="7">
        <v>159</v>
      </c>
      <c r="K160" s="7" t="str">
        <f t="shared" si="0"/>
        <v>CCLF6.CLM_TYPE_CD</v>
      </c>
      <c r="L160" s="7" t="str">
        <f>_xlfn.XLOOKUP("*'"&amp;K160&amp;"'*",Data_Dictionary[cclfMapping],Data_Dictionary[Field Name],,2)</f>
        <v>Claim Type Code</v>
      </c>
      <c r="M160" s="7" t="str">
        <f>_xlfn.XLOOKUP("*'"&amp;K160&amp;"'*",Data_Dictionary[cclfMapping],Data_Dictionary[Field Name],,2)</f>
        <v>Claim Type Code</v>
      </c>
      <c r="N160" s="7" t="str">
        <f>_xlfn.XLOOKUP("*'"&amp;K160&amp;"'*",Data_Dictionary[cclfMapping],Data_Dictionary[fhirPath],,2)</f>
        <v>ExplanationOfBenefit.type.coding.where(system = 'https://bluebutton.cms.gov/fhir/CodeSystem/CLM-TYPE-CD').code</v>
      </c>
    </row>
    <row r="161" spans="1:14" ht="36">
      <c r="A161" s="7" t="s">
        <v>2257</v>
      </c>
      <c r="B161" s="8">
        <v>6</v>
      </c>
      <c r="C161" s="7" t="s">
        <v>87</v>
      </c>
      <c r="D161" s="7" t="s">
        <v>83</v>
      </c>
      <c r="E161" s="8">
        <v>48</v>
      </c>
      <c r="F161" s="8">
        <v>57</v>
      </c>
      <c r="G161" s="8">
        <v>10</v>
      </c>
      <c r="H161" s="7" t="s">
        <v>1989</v>
      </c>
      <c r="I161" s="9" t="s">
        <v>2113</v>
      </c>
      <c r="J161" s="7">
        <v>160</v>
      </c>
      <c r="K161" s="7" t="str">
        <f t="shared" si="0"/>
        <v>CCLF6.CLM_FROM_DT</v>
      </c>
      <c r="L161" s="7" t="str">
        <f>_xlfn.XLOOKUP("*'"&amp;K161&amp;"'*",Data_Dictionary[cclfMapping],Data_Dictionary[Field Name],,2)</f>
        <v>Claim From Date</v>
      </c>
      <c r="M161" s="7" t="str">
        <f>_xlfn.XLOOKUP("*'"&amp;K161&amp;"'*",Data_Dictionary[cclfMapping],Data_Dictionary[Field Name],,2)</f>
        <v>Claim From Date</v>
      </c>
      <c r="N161" s="7" t="str">
        <f>_xlfn.XLOOKUP("*'"&amp;K161&amp;"'*",Data_Dictionary[cclfMapping],Data_Dictionary[fhirPath],,2)</f>
        <v>ExplanationOfBenefit.billablePeriod.start</v>
      </c>
    </row>
    <row r="162" spans="1:14" ht="36">
      <c r="A162" s="7" t="s">
        <v>2257</v>
      </c>
      <c r="B162" s="8">
        <v>7</v>
      </c>
      <c r="C162" s="7" t="s">
        <v>91</v>
      </c>
      <c r="D162" s="7" t="s">
        <v>88</v>
      </c>
      <c r="E162" s="8">
        <v>58</v>
      </c>
      <c r="F162" s="8">
        <v>67</v>
      </c>
      <c r="G162" s="8">
        <v>10</v>
      </c>
      <c r="H162" s="7" t="s">
        <v>1989</v>
      </c>
      <c r="I162" s="9" t="s">
        <v>1991</v>
      </c>
      <c r="J162" s="7">
        <v>161</v>
      </c>
      <c r="K162" s="7" t="str">
        <f t="shared" si="0"/>
        <v>CCLF6.CLM_THRU_DT</v>
      </c>
      <c r="L162" s="7" t="str">
        <f>_xlfn.XLOOKUP("*'"&amp;K162&amp;"'*",Data_Dictionary[cclfMapping],Data_Dictionary[Field Name],,2)</f>
        <v>Claim Thru Date</v>
      </c>
      <c r="M162" s="7" t="str">
        <f>_xlfn.XLOOKUP("*'"&amp;K162&amp;"'*",Data_Dictionary[cclfMapping],Data_Dictionary[Field Name],,2)</f>
        <v>Claim Thru Date</v>
      </c>
      <c r="N162" s="7" t="str">
        <f>_xlfn.XLOOKUP("*'"&amp;K162&amp;"'*",Data_Dictionary[cclfMapping],Data_Dictionary[fhirPath],,2)</f>
        <v>ExplanationOfBenefit.billablePeriod.end</v>
      </c>
    </row>
    <row r="163" spans="1:14" ht="48">
      <c r="A163" s="7" t="s">
        <v>2257</v>
      </c>
      <c r="B163" s="8">
        <v>8</v>
      </c>
      <c r="C163" s="7" t="s">
        <v>1314</v>
      </c>
      <c r="D163" s="7" t="s">
        <v>2173</v>
      </c>
      <c r="E163" s="8">
        <v>68</v>
      </c>
      <c r="F163" s="8">
        <v>68</v>
      </c>
      <c r="G163" s="8">
        <v>1</v>
      </c>
      <c r="H163" s="7" t="s">
        <v>1993</v>
      </c>
      <c r="I163" s="11" t="s">
        <v>2259</v>
      </c>
      <c r="J163" s="7">
        <v>162</v>
      </c>
      <c r="K163" s="7" t="str">
        <f t="shared" si="0"/>
        <v>CCLF6.CLM_FED_TYPE_SRVC_CD</v>
      </c>
      <c r="L163" s="7" t="str">
        <f>_xlfn.XLOOKUP("*'"&amp;K163&amp;"'*",Data_Dictionary[cclfMapping],Data_Dictionary[Field Name],,2)</f>
        <v>CMS Service Type Code</v>
      </c>
      <c r="M163" s="7" t="str">
        <f>_xlfn.XLOOKUP("*'"&amp;K163&amp;"'*",Data_Dictionary[cclfMapping],Data_Dictionary[Field Name],,2)</f>
        <v>CMS Service Type Code</v>
      </c>
      <c r="N163" s="7" t="str">
        <f>_xlfn.XLOOKUP("*'"&amp;K163&amp;"'*",Data_Dictionary[cclfMapping],Data_Dictionary[fhirPath],,2)</f>
        <v>ExplanationOfBenefit.item.extension.where(url='https://bluebutton.cms.gov/fhir/StructureDefinition/CLM-FED-TYPE-SRVC-CD').value.code</v>
      </c>
    </row>
    <row r="164" spans="1:14" ht="36">
      <c r="A164" s="7" t="s">
        <v>2257</v>
      </c>
      <c r="B164" s="8">
        <v>9</v>
      </c>
      <c r="C164" s="7" t="s">
        <v>1204</v>
      </c>
      <c r="D164" s="7" t="s">
        <v>2175</v>
      </c>
      <c r="E164" s="8">
        <v>69</v>
      </c>
      <c r="F164" s="8">
        <v>70</v>
      </c>
      <c r="G164" s="8">
        <v>2</v>
      </c>
      <c r="H164" s="7" t="s">
        <v>2005</v>
      </c>
      <c r="I164" s="11" t="s">
        <v>2260</v>
      </c>
      <c r="J164" s="7">
        <v>163</v>
      </c>
      <c r="K164" s="7" t="str">
        <f t="shared" si="0"/>
        <v>CCLF6.CLM_POS_CD</v>
      </c>
      <c r="L164" s="7" t="str">
        <f>_xlfn.XLOOKUP("*'"&amp;K164&amp;"'*",Data_Dictionary[cclfMapping],Data_Dictionary[Field Name],,2)</f>
        <v>Place Of Service Code</v>
      </c>
      <c r="M164" s="7" t="str">
        <f>_xlfn.XLOOKUP("*'"&amp;K164&amp;"'*",Data_Dictionary[cclfMapping],Data_Dictionary[Field Name],,2)</f>
        <v>Place Of Service Code</v>
      </c>
      <c r="N164" s="7" t="str">
        <f>_xlfn.XLOOKUP("*'"&amp;K164&amp;"'*",Data_Dictionary[cclfMapping],Data_Dictionary[fhirPath],,2)</f>
        <v>ExplanationOfBenefit.item.location.coding.where(system='https://www.cms.gov/Medicare/Coding/place-of-service-codes/Place_of_Service_Code_Set').code</v>
      </c>
    </row>
    <row r="165" spans="1:14" ht="24">
      <c r="A165" s="7" t="s">
        <v>2257</v>
      </c>
      <c r="B165" s="8">
        <v>10</v>
      </c>
      <c r="C165" s="7" t="s">
        <v>199</v>
      </c>
      <c r="D165" s="7" t="s">
        <v>2098</v>
      </c>
      <c r="E165" s="8">
        <v>71</v>
      </c>
      <c r="F165" s="8">
        <v>80</v>
      </c>
      <c r="G165" s="8">
        <v>10</v>
      </c>
      <c r="H165" s="7" t="s">
        <v>1989</v>
      </c>
      <c r="I165" s="9" t="s">
        <v>2099</v>
      </c>
      <c r="J165" s="7">
        <v>164</v>
      </c>
      <c r="K165" s="7" t="str">
        <f t="shared" si="0"/>
        <v>CCLF6.CLM_LINE_FROM_DT</v>
      </c>
      <c r="L165" s="7" t="str">
        <f>_xlfn.XLOOKUP("*'"&amp;K165&amp;"'*",Data_Dictionary[cclfMapping],Data_Dictionary[Field Name],,2)</f>
        <v>Line Item From Date</v>
      </c>
      <c r="M165" s="7" t="str">
        <f>_xlfn.XLOOKUP("*'"&amp;K165&amp;"'*",Data_Dictionary[cclfMapping],Data_Dictionary[Field Name],,2)</f>
        <v>Line Item From Date</v>
      </c>
      <c r="N165" s="7" t="str">
        <f>_xlfn.XLOOKUP("*'"&amp;K165&amp;"'*",Data_Dictionary[cclfMapping],Data_Dictionary[fhirPath],,2)</f>
        <v>ExplanationOfBenefit.item.serviced.start</v>
      </c>
    </row>
    <row r="166" spans="1:14" ht="24">
      <c r="A166" s="7" t="s">
        <v>2257</v>
      </c>
      <c r="B166" s="8">
        <v>11</v>
      </c>
      <c r="C166" s="7" t="s">
        <v>1197</v>
      </c>
      <c r="D166" s="7" t="s">
        <v>2100</v>
      </c>
      <c r="E166" s="8">
        <v>81</v>
      </c>
      <c r="F166" s="8">
        <v>90</v>
      </c>
      <c r="G166" s="8">
        <v>10</v>
      </c>
      <c r="H166" s="7" t="s">
        <v>1989</v>
      </c>
      <c r="I166" s="9" t="s">
        <v>2101</v>
      </c>
      <c r="J166" s="7">
        <v>165</v>
      </c>
      <c r="K166" s="7" t="str">
        <f t="shared" si="0"/>
        <v>CCLF6.CLM_LINE_THRU_DT</v>
      </c>
      <c r="L166" s="7" t="str">
        <f>_xlfn.XLOOKUP("*'"&amp;K166&amp;"'*",Data_Dictionary[cclfMapping],Data_Dictionary[Field Name],,2)</f>
        <v>Last Expense Date</v>
      </c>
      <c r="M166" s="7" t="str">
        <f>_xlfn.XLOOKUP("*'"&amp;K166&amp;"'*",Data_Dictionary[cclfMapping],Data_Dictionary[Field Name],,2)</f>
        <v>Last Expense Date</v>
      </c>
      <c r="N166" s="7" t="str">
        <f>_xlfn.XLOOKUP("*'"&amp;K166&amp;"'*",Data_Dictionary[cclfMapping],Data_Dictionary[fhirPath],,2)</f>
        <v>ExplanationOfBenefit.item.serviced.end</v>
      </c>
    </row>
    <row r="167" spans="1:14" ht="24">
      <c r="A167" s="7" t="s">
        <v>2257</v>
      </c>
      <c r="B167" s="8">
        <v>12</v>
      </c>
      <c r="C167" s="7" t="s">
        <v>580</v>
      </c>
      <c r="D167" s="7" t="s">
        <v>2107</v>
      </c>
      <c r="E167" s="8">
        <v>91</v>
      </c>
      <c r="F167" s="8">
        <v>95</v>
      </c>
      <c r="G167" s="8">
        <v>5</v>
      </c>
      <c r="H167" s="7" t="s">
        <v>2108</v>
      </c>
      <c r="I167" s="9" t="s">
        <v>2261</v>
      </c>
      <c r="J167" s="7">
        <v>166</v>
      </c>
      <c r="K167" s="7" t="str">
        <f t="shared" si="0"/>
        <v>CCLF6.CLM_LINE_HCPCS_CD</v>
      </c>
      <c r="L167" s="7" t="str">
        <f>_xlfn.XLOOKUP("*'"&amp;K167&amp;"'*",Data_Dictionary[cclfMapping],Data_Dictionary[Field Name],,2)</f>
        <v>Line Item HCPCS Code</v>
      </c>
      <c r="M167" s="7" t="str">
        <f>_xlfn.XLOOKUP("*'"&amp;K167&amp;"'*",Data_Dictionary[cclfMapping],Data_Dictionary[Field Name],,2)</f>
        <v>Line Item HCPCS Code</v>
      </c>
      <c r="N167" s="7" t="str">
        <f>_xlfn.XLOOKUP("*'"&amp;K167&amp;"'*",Data_Dictionary[cclfMapping],Data_Dictionary[fhirPath],,2)</f>
        <v>ExplanationOfBenefit.item.productOrService.where(coding.system='http://www.ama-assn.org/go/cpt' or coding.system='https://www.cms.gov/Medicare/Coding/HCPCSReleaseCodeSets' or coding.system='http://terminology.hl7.org/CodeSystem/data-absent-reason').coding.code</v>
      </c>
    </row>
    <row r="168" spans="1:14" ht="36">
      <c r="A168" s="7" t="s">
        <v>2257</v>
      </c>
      <c r="B168" s="8">
        <v>13</v>
      </c>
      <c r="C168" s="7" t="s">
        <v>224</v>
      </c>
      <c r="D168" s="7" t="s">
        <v>2180</v>
      </c>
      <c r="E168" s="8">
        <v>96</v>
      </c>
      <c r="F168" s="8">
        <v>110</v>
      </c>
      <c r="G168" s="8">
        <v>15</v>
      </c>
      <c r="H168" s="7" t="s">
        <v>2052</v>
      </c>
      <c r="I168" s="9" t="s">
        <v>2262</v>
      </c>
      <c r="J168" s="7">
        <v>167</v>
      </c>
      <c r="K168" s="7" t="str">
        <f t="shared" si="0"/>
        <v>CCLF6.CLM_LINE_CVRD_PD_AMT</v>
      </c>
      <c r="L168" s="7" t="str">
        <f>_xlfn.XLOOKUP("*'"&amp;K168&amp;"'*",Data_Dictionary[cclfMapping],Data_Dictionary[Field Name],,2)</f>
        <v>Claim Line Covered Paid Amount</v>
      </c>
      <c r="M168" s="7" t="str">
        <f>_xlfn.XLOOKUP("*'"&amp;K168&amp;"'*",Data_Dictionary[cclfMapping],Data_Dictionary[Field Name],,2)</f>
        <v>Claim Line Covered Paid Amount</v>
      </c>
      <c r="N168" s="7" t="str">
        <f>_xlfn.XLOOKUP("*'"&amp;K168&amp;"'*",Data_Dictionary[cclfMapping],Data_Dictionary[fhirPath],,2)</f>
        <v>ExplanationOfBenefit.item.adjudication.where(category.coding.where(system='https://bluebutton.cms.gov/fhir/CodeSystem/Adjudication') and category.coding.where(code='CLM_LINE_CVRD_PD_AMT')).amount.value</v>
      </c>
    </row>
    <row r="169" spans="1:14" ht="84">
      <c r="A169" s="7" t="s">
        <v>2257</v>
      </c>
      <c r="B169" s="8">
        <v>14</v>
      </c>
      <c r="C169" s="7" t="s">
        <v>1306</v>
      </c>
      <c r="D169" s="7" t="s">
        <v>2184</v>
      </c>
      <c r="E169" s="8">
        <v>111</v>
      </c>
      <c r="F169" s="8">
        <v>111</v>
      </c>
      <c r="G169" s="8">
        <v>1</v>
      </c>
      <c r="H169" s="7" t="s">
        <v>1993</v>
      </c>
      <c r="I169" s="11" t="s">
        <v>2263</v>
      </c>
      <c r="J169" s="7">
        <v>168</v>
      </c>
      <c r="K169" s="7" t="str">
        <f t="shared" si="0"/>
        <v>CCLF6.CLM_PRMRY_PYR_CD</v>
      </c>
      <c r="L169" s="7" t="str">
        <f>_xlfn.XLOOKUP("*'"&amp;K169&amp;"'*",Data_Dictionary[cclfMapping],Data_Dictionary[Field Name],,2)</f>
        <v>Line Primary Payer Code</v>
      </c>
      <c r="M169" s="7" t="str">
        <f>_xlfn.XLOOKUP("*'"&amp;K169&amp;"'*",Data_Dictionary[cclfMapping],Data_Dictionary[Field Name],,2)</f>
        <v>Line Primary Payer Code</v>
      </c>
      <c r="N169" s="7" t="str">
        <f>_xlfn.XLOOKUP("*'"&amp;K169&amp;"'*",Data_Dictionary[cclfMapping],Data_Dictionary[fhirPath],,2)</f>
        <v>ExplanationOfBenefit.item.extension.where(url='https://bluebutton.cms.gov/fhir/StructureDefinition/CLM-PRMRY-PYR-CD').value.code</v>
      </c>
    </row>
    <row r="170" spans="1:14" ht="36">
      <c r="A170" s="7" t="s">
        <v>2257</v>
      </c>
      <c r="B170" s="8">
        <v>15</v>
      </c>
      <c r="C170" s="7" t="s">
        <v>2264</v>
      </c>
      <c r="D170" s="7" t="s">
        <v>2265</v>
      </c>
      <c r="E170" s="8">
        <v>112</v>
      </c>
      <c r="F170" s="8">
        <v>121</v>
      </c>
      <c r="G170" s="8">
        <v>10</v>
      </c>
      <c r="H170" s="7" t="s">
        <v>2022</v>
      </c>
      <c r="I170" s="7" t="s">
        <v>2266</v>
      </c>
      <c r="J170" s="7">
        <v>169</v>
      </c>
      <c r="K170" s="7" t="str">
        <f t="shared" si="0"/>
        <v>CCLF6.PAYTO_PRVDR_NPI_NUM</v>
      </c>
      <c r="L170" s="7" t="str">
        <f>_xlfn.XLOOKUP("*'"&amp;K170&amp;"'*",Data_Dictionary[cclfMapping],Data_Dictionary[Field Name],,2)</f>
        <v>Provider billing NPI number</v>
      </c>
      <c r="M170" s="7" t="str">
        <f>_xlfn.XLOOKUP("*'"&amp;K170&amp;"'*",Data_Dictionary[cclfMapping],Data_Dictionary[Field Name],,2)</f>
        <v>Provider billing NPI number</v>
      </c>
      <c r="N170" s="7" t="str">
        <f>_xlfn.XLOOKUP("*'"&amp;K170&amp;"'*",Data_Dictionary[cclfMapping],Data_Dictionary[fhirPath],,2)</f>
        <v>ExplanationOfBenefit.contained.where(id = %root.provider.reference.substring(1)).identifier.where(system='http://hl7.org/fhir/sid/us-npi').value</v>
      </c>
    </row>
    <row r="171" spans="1:14" ht="36">
      <c r="A171" s="7" t="s">
        <v>2257</v>
      </c>
      <c r="B171" s="8">
        <v>16</v>
      </c>
      <c r="C171" s="7" t="s">
        <v>2267</v>
      </c>
      <c r="D171" s="7" t="s">
        <v>2268</v>
      </c>
      <c r="E171" s="8">
        <v>122</v>
      </c>
      <c r="F171" s="8">
        <v>131</v>
      </c>
      <c r="G171" s="8">
        <v>10</v>
      </c>
      <c r="H171" s="7" t="s">
        <v>2022</v>
      </c>
      <c r="I171" s="7" t="s">
        <v>2269</v>
      </c>
      <c r="J171" s="7">
        <v>170</v>
      </c>
      <c r="K171" s="7" t="str">
        <f t="shared" si="0"/>
        <v>CCLF6.ORDRG_PRVDR_NPI_NUM</v>
      </c>
      <c r="L171" s="7" t="str">
        <f>_xlfn.XLOOKUP("*'"&amp;K171&amp;"'*",Data_Dictionary[cclfMapping],Data_Dictionary[Field Name],,2)</f>
        <v>Referring Provider NPI Number</v>
      </c>
      <c r="M171" s="7" t="str">
        <f>_xlfn.XLOOKUP("*'"&amp;K171&amp;"'*",Data_Dictionary[cclfMapping],Data_Dictionary[Field Name],,2)</f>
        <v>Referring Provider NPI Number</v>
      </c>
      <c r="N171" s="7" t="str">
        <f>_xlfn.XLOOKUP("*'"&amp;K171&amp;"'*",Data_Dictionary[cclfMapping],Data_Dictionary[fhirPath],,2)</f>
        <v>ExplanationOfBenefit.careTeam.where(role.coding.where(code = 'referring').exists()).provider.identifier.value</v>
      </c>
    </row>
    <row r="172" spans="1:14" ht="107.25">
      <c r="A172" s="7" t="s">
        <v>2257</v>
      </c>
      <c r="B172" s="8">
        <v>17</v>
      </c>
      <c r="C172" s="7" t="s">
        <v>1227</v>
      </c>
      <c r="D172" s="7" t="s">
        <v>2192</v>
      </c>
      <c r="E172" s="8">
        <v>132</v>
      </c>
      <c r="F172" s="8">
        <v>133</v>
      </c>
      <c r="G172" s="8">
        <v>2</v>
      </c>
      <c r="H172" s="7" t="s">
        <v>2005</v>
      </c>
      <c r="I172" s="11" t="s">
        <v>2270</v>
      </c>
      <c r="J172" s="7">
        <v>171</v>
      </c>
      <c r="K172" s="7" t="str">
        <f t="shared" si="0"/>
        <v>CCLF6.CLM_CARR_PMT_DNL_CD</v>
      </c>
      <c r="L172" s="7" t="str">
        <f>_xlfn.XLOOKUP("*'"&amp;K172&amp;"'*",Data_Dictionary[cclfMapping],Data_Dictionary[Field Name],,2)</f>
        <v>Claim Payment Denial Code</v>
      </c>
      <c r="M172" s="7" t="str">
        <f>_xlfn.XLOOKUP("*'"&amp;K172&amp;"'*",Data_Dictionary[cclfMapping],Data_Dictionary[Field Name],,2)</f>
        <v>Claim Payment Denial Code</v>
      </c>
      <c r="N172" s="7" t="str">
        <f>_xlfn.XLOOKUP("*'"&amp;K172&amp;"'*",Data_Dictionary[cclfMapping],Data_Dictionary[fhirPath],,2)</f>
        <v>ExplanationOfBenefit.supportingInfo.where(category.coding.where(system='https://bluebutton.cms.gov/fhir/CodeSystem/Supporting-Information').exists() and category.coding.where(code='CLM_CARR_PMT_DNL_CD').exists()).code.coding.code</v>
      </c>
    </row>
    <row r="173" spans="1:14" ht="107.25">
      <c r="A173" s="7" t="s">
        <v>2257</v>
      </c>
      <c r="B173" s="8">
        <v>18</v>
      </c>
      <c r="C173" s="7" t="s">
        <v>1327</v>
      </c>
      <c r="D173" s="7" t="s">
        <v>2271</v>
      </c>
      <c r="E173" s="8">
        <v>134</v>
      </c>
      <c r="F173" s="8">
        <v>135</v>
      </c>
      <c r="G173" s="8">
        <v>2</v>
      </c>
      <c r="H173" s="7" t="s">
        <v>2005</v>
      </c>
      <c r="I173" s="11" t="s">
        <v>2195</v>
      </c>
      <c r="J173" s="7">
        <v>172</v>
      </c>
      <c r="K173" s="7" t="str">
        <f t="shared" si="0"/>
        <v>CCLF6.CLM_PRCSG_IND_CD</v>
      </c>
      <c r="L173" s="7" t="str">
        <f>_xlfn.XLOOKUP("*'"&amp;K173&amp;"'*",Data_Dictionary[cclfMapping],Data_Dictionary[Field Name],,2)</f>
        <v>Processing Indicator Code</v>
      </c>
      <c r="M173" s="7" t="str">
        <f>_xlfn.XLOOKUP("*'"&amp;K173&amp;"'*",Data_Dictionary[cclfMapping],Data_Dictionary[Field Name],,2)</f>
        <v>Processing Indicator Code</v>
      </c>
      <c r="N173" s="7" t="str">
        <f>_xlfn.XLOOKUP("*'"&amp;K173&amp;"'*",Data_Dictionary[cclfMapping],Data_Dictionary[fhirPath],,2)</f>
        <v>ExplanationOfBenefit.item.extension.where(url='https://bluebutton.cms.gov/fhir/StructureDefinition/CLM-PRCSG-IND-CD').value.code</v>
      </c>
    </row>
    <row r="174" spans="1:14" ht="72">
      <c r="A174" s="7" t="s">
        <v>2257</v>
      </c>
      <c r="B174" s="8">
        <v>19</v>
      </c>
      <c r="C174" s="7" t="s">
        <v>2033</v>
      </c>
      <c r="D174" s="7" t="s">
        <v>343</v>
      </c>
      <c r="E174" s="8">
        <v>136</v>
      </c>
      <c r="F174" s="8">
        <v>137</v>
      </c>
      <c r="G174" s="8">
        <v>2</v>
      </c>
      <c r="H174" s="7" t="s">
        <v>2005</v>
      </c>
      <c r="I174" s="9" t="s">
        <v>2034</v>
      </c>
      <c r="J174" s="7">
        <v>173</v>
      </c>
      <c r="K174" s="7" t="str">
        <f t="shared" si="0"/>
        <v>CCLF6.CLM_ADJSMT_TYPE_CD</v>
      </c>
      <c r="L174" s="7" t="str">
        <f>_xlfn.XLOOKUP("*'"&amp;K174&amp;"'*",Data_Dictionary[cclfMapping],Data_Dictionary[Field Name],,2)</f>
        <v>Claim Adjustment Type Code</v>
      </c>
      <c r="M174" s="7" t="str">
        <f>_xlfn.XLOOKUP("*'"&amp;K174&amp;"'*",Data_Dictionary[cclfMapping],Data_Dictionary[Field Name],,2)</f>
        <v>Claim Adjustment Type Code</v>
      </c>
      <c r="N174" s="7" t="str">
        <f>_xlfn.XLOOKUP("*'"&amp;K174&amp;"'*",Data_Dictionary[cclfMapping],Data_Dictionary[fhirPath],,2)</f>
        <v>ExplanationOfBenefit.supportingInfo.where(category.coding.where(system='https://bluebutton.cms.gov/fhir/CodeSystem/Supporting-Information').exists() and category.coding.where(code='CLM_ADJSTMT_TYPE_CD').exists()).code.coding.code</v>
      </c>
    </row>
    <row r="175" spans="1:14" ht="36">
      <c r="A175" s="7" t="s">
        <v>2257</v>
      </c>
      <c r="B175" s="8">
        <v>20</v>
      </c>
      <c r="C175" s="7" t="s">
        <v>95</v>
      </c>
      <c r="D175" s="7" t="s">
        <v>92</v>
      </c>
      <c r="E175" s="8">
        <v>138</v>
      </c>
      <c r="F175" s="8">
        <v>147</v>
      </c>
      <c r="G175" s="8">
        <v>10</v>
      </c>
      <c r="H175" s="7" t="s">
        <v>1989</v>
      </c>
      <c r="I175" s="9" t="s">
        <v>2272</v>
      </c>
      <c r="J175" s="7">
        <v>174</v>
      </c>
      <c r="K175" s="7" t="str">
        <f t="shared" si="0"/>
        <v>CCLF6.CLM_EFCTV_DT</v>
      </c>
      <c r="L175" s="7" t="str">
        <f>_xlfn.XLOOKUP("*'"&amp;K175&amp;"'*",Data_Dictionary[cclfMapping],Data_Dictionary[Field Name],,2)</f>
        <v>Claim Effective Date</v>
      </c>
      <c r="M175" s="7" t="str">
        <f>_xlfn.XLOOKUP("*'"&amp;K175&amp;"'*",Data_Dictionary[cclfMapping],Data_Dictionary[Field Name],,2)</f>
        <v>Claim Effective Date</v>
      </c>
      <c r="N175" s="7" t="str">
        <f>_xlfn.XLOOKUP("*'"&amp;K175&amp;"'*",Data_Dictionary[cclfMapping],Data_Dictionary[fhirPath],,2)</f>
        <v>ExplanationOfBenefit.created</v>
      </c>
    </row>
    <row r="176" spans="1:14" ht="24">
      <c r="A176" s="7" t="s">
        <v>2257</v>
      </c>
      <c r="B176" s="8">
        <v>21</v>
      </c>
      <c r="C176" s="7" t="s">
        <v>362</v>
      </c>
      <c r="D176" s="7" t="s">
        <v>358</v>
      </c>
      <c r="E176" s="8">
        <v>148</v>
      </c>
      <c r="F176" s="8">
        <v>157</v>
      </c>
      <c r="G176" s="8">
        <v>10</v>
      </c>
      <c r="H176" s="7" t="s">
        <v>1989</v>
      </c>
      <c r="I176" s="7" t="s">
        <v>2036</v>
      </c>
      <c r="J176" s="7">
        <v>175</v>
      </c>
      <c r="K176" s="7" t="str">
        <f t="shared" si="0"/>
        <v>CCLF6.CLM_IDR_LD_DT</v>
      </c>
      <c r="L176" s="7" t="str">
        <f>_xlfn.XLOOKUP("*'"&amp;K176&amp;"'*",Data_Dictionary[cclfMapping],Data_Dictionary[Field Name],,2)</f>
        <v>Claim IDR Load Date</v>
      </c>
      <c r="M176" s="7" t="str">
        <f>_xlfn.XLOOKUP("*'"&amp;K176&amp;"'*",Data_Dictionary[cclfMapping],Data_Dictionary[Field Name],,2)</f>
        <v>Claim IDR Load Date</v>
      </c>
      <c r="N176" s="7" t="str">
        <f>_xlfn.XLOOKUP("*'"&amp;K176&amp;"'*",Data_Dictionary[cclfMapping],Data_Dictionary[fhirPath],,2)</f>
        <v>ExplanationOfBenefit.supportingInfo.where(category.coding.where(system='https://bluebutton.cms.gov/fhir/CodeSystem/Supporting-Information').exists() and category.coding.where(code='CLM_IDR_LD_DT').exists()).timing</v>
      </c>
    </row>
    <row r="177" spans="1:14" ht="48">
      <c r="A177" s="7" t="s">
        <v>2257</v>
      </c>
      <c r="B177" s="8">
        <v>22</v>
      </c>
      <c r="C177" s="7" t="s">
        <v>395</v>
      </c>
      <c r="D177" s="7" t="s">
        <v>392</v>
      </c>
      <c r="E177" s="8">
        <v>158</v>
      </c>
      <c r="F177" s="8">
        <v>197</v>
      </c>
      <c r="G177" s="8">
        <v>40</v>
      </c>
      <c r="H177" s="7" t="s">
        <v>2197</v>
      </c>
      <c r="I177" s="9" t="s">
        <v>2198</v>
      </c>
      <c r="J177" s="7">
        <v>176</v>
      </c>
      <c r="K177" s="7" t="str">
        <f t="shared" si="0"/>
        <v>CCLF6.CLM_CNTL_NUM</v>
      </c>
      <c r="L177" s="7" t="str">
        <f>_xlfn.XLOOKUP("*'"&amp;K177&amp;"'*",Data_Dictionary[cclfMapping],Data_Dictionary[Field Name],,2)</f>
        <v>Claim Control Number</v>
      </c>
      <c r="M177" s="7" t="str">
        <f>_xlfn.XLOOKUP("*'"&amp;K177&amp;"'*",Data_Dictionary[cclfMapping],Data_Dictionary[Field Name],,2)</f>
        <v>Claim Control Number</v>
      </c>
      <c r="N177" s="7" t="str">
        <f>_xlfn.XLOOKUP("*'"&amp;K177&amp;"'*",Data_Dictionary[cclfMapping],Data_Dictionary[fhirPath],,2)</f>
        <v>ExplanationOfBenefit.identifier.where(system = 'https://bluebutton.cms.gov/identifiers/CLM-CNTL-NUM').value</v>
      </c>
    </row>
    <row r="178" spans="1:14" ht="96">
      <c r="A178" s="7" t="s">
        <v>2257</v>
      </c>
      <c r="B178" s="8">
        <v>23</v>
      </c>
      <c r="C178" s="7" t="s">
        <v>2037</v>
      </c>
      <c r="D178" s="7" t="s">
        <v>2038</v>
      </c>
      <c r="E178" s="8">
        <v>198</v>
      </c>
      <c r="F178" s="8">
        <v>208</v>
      </c>
      <c r="G178" s="8">
        <v>11</v>
      </c>
      <c r="H178" s="7" t="s">
        <v>1982</v>
      </c>
      <c r="I178" s="9" t="s">
        <v>2110</v>
      </c>
      <c r="J178" s="7">
        <v>177</v>
      </c>
      <c r="K178" s="7" t="str">
        <f t="shared" si="0"/>
        <v>CCLF6.BENE_EQTBL_BIC_HICN_NUM</v>
      </c>
      <c r="L178" s="7" t="e">
        <f>_xlfn.XLOOKUP("*'"&amp;K178&amp;"'*",Data_Dictionary[cclfMapping],Data_Dictionary[Field Name],,2)</f>
        <v>#N/A</v>
      </c>
      <c r="M178" s="7" t="e">
        <f>_xlfn.XLOOKUP("*'"&amp;K178&amp;"'*",Data_Dictionary[cclfMapping],Data_Dictionary[Field Name],,2)</f>
        <v>#N/A</v>
      </c>
      <c r="N178" s="7" t="e">
        <f>_xlfn.XLOOKUP("*'"&amp;K178&amp;"'*",Data_Dictionary[cclfMapping],Data_Dictionary[fhirPath],,2)</f>
        <v>#N/A</v>
      </c>
    </row>
    <row r="179" spans="1:14" ht="24">
      <c r="A179" s="7" t="s">
        <v>2257</v>
      </c>
      <c r="B179" s="8">
        <v>24</v>
      </c>
      <c r="C179" s="7" t="s">
        <v>570</v>
      </c>
      <c r="D179" s="7" t="s">
        <v>2200</v>
      </c>
      <c r="E179" s="8">
        <v>209</v>
      </c>
      <c r="F179" s="8">
        <v>225</v>
      </c>
      <c r="G179" s="8">
        <v>17</v>
      </c>
      <c r="H179" s="7" t="s">
        <v>2273</v>
      </c>
      <c r="I179" s="7" t="s">
        <v>2202</v>
      </c>
      <c r="J179" s="7">
        <v>178</v>
      </c>
      <c r="K179" s="7" t="str">
        <f t="shared" si="0"/>
        <v>CCLF6.CLM_LINE_ALOWD_CHRG_AMT</v>
      </c>
      <c r="L179" s="7" t="str">
        <f>_xlfn.XLOOKUP("*'"&amp;K179&amp;"'*",Data_Dictionary[cclfMapping],Data_Dictionary[Field Name],,2)</f>
        <v>Line Item Allowed Charge Amount</v>
      </c>
      <c r="M179" s="7" t="str">
        <f>_xlfn.XLOOKUP("*'"&amp;K179&amp;"'*",Data_Dictionary[cclfMapping],Data_Dictionary[Field Name],,2)</f>
        <v>Line Item Allowed Charge Amount</v>
      </c>
      <c r="N179" s="7" t="str">
        <f>_xlfn.XLOOKUP("*'"&amp;K179&amp;"'*",Data_Dictionary[cclfMapping],Data_Dictionary[fhirPath],,2)</f>
        <v>ExplanationOfBenefit.item.adjudication.where(category.coding.where(system='https://bluebutton.cms.gov/fhir/CodeSystem/Adjudication') and category.coding.where(code='CLM_LINE_ALOWD_CHRG_AMT')).amount.value</v>
      </c>
    </row>
    <row r="180" spans="1:14" ht="72">
      <c r="A180" s="7" t="s">
        <v>2257</v>
      </c>
      <c r="B180" s="8">
        <v>25</v>
      </c>
      <c r="C180" s="7" t="s">
        <v>899</v>
      </c>
      <c r="D180" s="7" t="s">
        <v>896</v>
      </c>
      <c r="E180" s="8">
        <v>226</v>
      </c>
      <c r="F180" s="8">
        <v>227</v>
      </c>
      <c r="G180" s="8">
        <v>2</v>
      </c>
      <c r="H180" s="7" t="s">
        <v>2040</v>
      </c>
      <c r="I180" s="9" t="s">
        <v>2274</v>
      </c>
      <c r="J180" s="7">
        <v>179</v>
      </c>
      <c r="K180" s="7" t="str">
        <f t="shared" si="0"/>
        <v>CCLF6.CLM_DISP_CD</v>
      </c>
      <c r="L180" s="7" t="str">
        <f>_xlfn.XLOOKUP("*'"&amp;K180&amp;"'*",Data_Dictionary[cclfMapping],Data_Dictionary[Field Name],,2)</f>
        <v>Claim Disposition Code</v>
      </c>
      <c r="M180" s="7" t="str">
        <f>_xlfn.XLOOKUP("*'"&amp;K180&amp;"'*",Data_Dictionary[cclfMapping],Data_Dictionary[Field Name],,2)</f>
        <v>Claim Disposition Code</v>
      </c>
      <c r="N180" s="7" t="str">
        <f>_xlfn.XLOOKUP("*'"&amp;K180&amp;"'*",Data_Dictionary[cclfMapping],Data_Dictionary[fhirPath],,2)</f>
        <v>ExplanationOfBenefit.supportingInfo.where(category.coding.where(system='https://bluebutton.cms.gov/fhir/CodeSystem/Supporting-Information').exists() and category.coding.where(code='CLM_DISP_CD').exists()).code.coding.code</v>
      </c>
    </row>
    <row r="181" spans="1:14" ht="118.5">
      <c r="A181" s="7" t="s">
        <v>2257</v>
      </c>
      <c r="B181" s="8">
        <v>26</v>
      </c>
      <c r="C181" s="7" t="s">
        <v>2070</v>
      </c>
      <c r="D181" s="7" t="s">
        <v>2275</v>
      </c>
      <c r="E181" s="8">
        <v>228</v>
      </c>
      <c r="F181" s="8">
        <v>237</v>
      </c>
      <c r="G181" s="8">
        <v>10</v>
      </c>
      <c r="H181" s="7" t="s">
        <v>2022</v>
      </c>
      <c r="I181" s="9" t="s">
        <v>2276</v>
      </c>
      <c r="J181" s="7">
        <v>180</v>
      </c>
      <c r="K181" s="7" t="str">
        <f t="shared" si="0"/>
        <v>CCLF6.CLM_BLG_PRVDR_NPI_NUM</v>
      </c>
      <c r="L181" s="7" t="str">
        <f>_xlfn.XLOOKUP("*'"&amp;K181&amp;"'*",Data_Dictionary[cclfMapping],Data_Dictionary[Field Name],,2)</f>
        <v>Provider billing NPI number</v>
      </c>
      <c r="M181" s="7" t="str">
        <f>_xlfn.XLOOKUP("*'"&amp;K181&amp;"'*",Data_Dictionary[cclfMapping],Data_Dictionary[Field Name],,2)</f>
        <v>Provider billing NPI number</v>
      </c>
      <c r="N181" s="7" t="str">
        <f>_xlfn.XLOOKUP("*'"&amp;K181&amp;"'*",Data_Dictionary[cclfMapping],Data_Dictionary[fhirPath],,2)</f>
        <v>ExplanationOfBenefit.contained.where(id = %root.provider.reference.substring(1)).identifier.where(system='http://hl7.org/fhir/sid/us-npi').value</v>
      </c>
    </row>
    <row r="182" spans="1:14" ht="118.5">
      <c r="A182" s="7" t="s">
        <v>2257</v>
      </c>
      <c r="B182" s="8">
        <v>27</v>
      </c>
      <c r="C182" s="7" t="s">
        <v>2253</v>
      </c>
      <c r="D182" s="7" t="s">
        <v>2277</v>
      </c>
      <c r="E182" s="8">
        <v>238</v>
      </c>
      <c r="F182" s="8">
        <v>247</v>
      </c>
      <c r="G182" s="8">
        <v>10</v>
      </c>
      <c r="H182" s="7" t="s">
        <v>2022</v>
      </c>
      <c r="I182" s="9" t="s">
        <v>2278</v>
      </c>
      <c r="J182" s="7">
        <v>181</v>
      </c>
      <c r="K182" s="7" t="str">
        <f t="shared" si="0"/>
        <v>CCLF6.CLM_RFRG_PRVDR_NPI_NUM</v>
      </c>
      <c r="L182" s="7" t="str">
        <f>_xlfn.XLOOKUP("*'"&amp;K182&amp;"'*",Data_Dictionary[cclfMapping],Data_Dictionary[Field Name],,2)</f>
        <v>Referring Provider NPI Number</v>
      </c>
      <c r="M182" s="7" t="str">
        <f>_xlfn.XLOOKUP("*'"&amp;K182&amp;"'*",Data_Dictionary[cclfMapping],Data_Dictionary[Field Name],,2)</f>
        <v>Referring Provider NPI Number</v>
      </c>
      <c r="N182" s="7" t="str">
        <f>_xlfn.XLOOKUP("*'"&amp;K182&amp;"'*",Data_Dictionary[cclfMapping],Data_Dictionary[fhirPath],,2)</f>
        <v>ExplanationOfBenefit.careTeam.where(role.coding.where(code = 'referring').exists()).provider.identifier.value</v>
      </c>
    </row>
    <row r="183" spans="1:14" ht="12.75">
      <c r="A183" s="7" t="s">
        <v>2279</v>
      </c>
      <c r="B183" s="8">
        <v>1</v>
      </c>
      <c r="C183" s="7" t="s">
        <v>1974</v>
      </c>
      <c r="D183" s="7" t="s">
        <v>1975</v>
      </c>
      <c r="E183" s="8">
        <v>1</v>
      </c>
      <c r="F183" s="8">
        <v>13</v>
      </c>
      <c r="G183" s="8">
        <v>13</v>
      </c>
      <c r="H183" s="7" t="s">
        <v>1976</v>
      </c>
      <c r="I183" s="9" t="s">
        <v>1977</v>
      </c>
      <c r="J183" s="7">
        <v>182</v>
      </c>
      <c r="K183" s="7" t="str">
        <f t="shared" si="0"/>
        <v>CCLF7.CUR_CLM_UNIQ_ID</v>
      </c>
      <c r="L183" s="7" t="str">
        <f>_xlfn.XLOOKUP("*'"&amp;K183&amp;"'*",Data_Dictionary[cclfMapping],Data_Dictionary[Field Name],,2)</f>
        <v>Claim Unique ID</v>
      </c>
      <c r="M183" s="7" t="str">
        <f>_xlfn.XLOOKUP("*'"&amp;K183&amp;"'*",Data_Dictionary[cclfMapping],Data_Dictionary[Field Name],,2)</f>
        <v>Claim Unique ID</v>
      </c>
      <c r="N183" s="7" t="str">
        <f>_xlfn.XLOOKUP("*'"&amp;K183&amp;"'*",Data_Dictionary[cclfMapping],Data_Dictionary[fhirPath],,2)</f>
        <v>ExplanationOfBenefit.identifier.where(type.coding.system = 'http://hl7.org/fhir/us/carin-bb/CodeSystem/C4BBIdentifierType' and type.coding.code = 'uc' ).value</v>
      </c>
    </row>
    <row r="184" spans="1:14" ht="24">
      <c r="A184" s="7" t="s">
        <v>2279</v>
      </c>
      <c r="B184" s="8">
        <v>2</v>
      </c>
      <c r="C184" s="7" t="s">
        <v>1739</v>
      </c>
      <c r="D184" s="7" t="s">
        <v>1734</v>
      </c>
      <c r="E184" s="8">
        <v>14</v>
      </c>
      <c r="F184" s="8">
        <v>24</v>
      </c>
      <c r="G184" s="8">
        <v>11</v>
      </c>
      <c r="H184" s="7" t="s">
        <v>1982</v>
      </c>
      <c r="I184" s="9" t="s">
        <v>2161</v>
      </c>
      <c r="J184" s="7">
        <v>183</v>
      </c>
      <c r="K184" s="7" t="str">
        <f t="shared" si="0"/>
        <v>CCLF7.BENE_MBI_ID</v>
      </c>
      <c r="L184" s="7" t="str">
        <f>_xlfn.XLOOKUP("*'"&amp;K184&amp;"'*",Data_Dictionary[cclfMapping],Data_Dictionary[Field Name],,2)</f>
        <v>Medicare Beneficiary Identifier</v>
      </c>
      <c r="M184" s="7" t="str">
        <f>_xlfn.XLOOKUP("*'"&amp;K184&amp;"'*",Data_Dictionary[cclfMapping],Data_Dictionary[Field Name],,2)</f>
        <v>Medicare Beneficiary Identifier</v>
      </c>
      <c r="N184" s="7" t="str">
        <f>_xlfn.XLOOKUP("*'"&amp;K184&amp;"'*",Data_Dictionary[cclfMapping],Data_Dictionary[fhirPath],,2)</f>
        <v>Patient.identifier.where(system='http://hl7.org/fhir/sid/us-mbi').value</v>
      </c>
    </row>
    <row r="185" spans="1:14" ht="84">
      <c r="A185" s="7" t="s">
        <v>2279</v>
      </c>
      <c r="B185" s="8">
        <v>3</v>
      </c>
      <c r="C185" s="7" t="s">
        <v>1984</v>
      </c>
      <c r="D185" s="7" t="s">
        <v>1985</v>
      </c>
      <c r="E185" s="8">
        <v>25</v>
      </c>
      <c r="F185" s="8">
        <v>35</v>
      </c>
      <c r="G185" s="8">
        <v>11</v>
      </c>
      <c r="H185" s="7" t="s">
        <v>1982</v>
      </c>
      <c r="I185" s="9" t="s">
        <v>2135</v>
      </c>
      <c r="J185" s="7">
        <v>184</v>
      </c>
      <c r="K185" s="7" t="str">
        <f t="shared" si="0"/>
        <v>CCLF7.BENE_HIC_NUM</v>
      </c>
      <c r="L185" s="7" t="e">
        <f>_xlfn.XLOOKUP("*'"&amp;K185&amp;"'*",Data_Dictionary[cclfMapping],Data_Dictionary[Field Name],,2)</f>
        <v>#N/A</v>
      </c>
      <c r="M185" s="7" t="e">
        <f>_xlfn.XLOOKUP("*'"&amp;K185&amp;"'*",Data_Dictionary[cclfMapping],Data_Dictionary[Field Name],,2)</f>
        <v>#N/A</v>
      </c>
      <c r="N185" s="7" t="e">
        <f>_xlfn.XLOOKUP("*'"&amp;K185&amp;"'*",Data_Dictionary[cclfMapping],Data_Dictionary[fhirPath],,2)</f>
        <v>#N/A</v>
      </c>
    </row>
    <row r="186" spans="1:14" ht="12.75">
      <c r="A186" s="7" t="s">
        <v>2279</v>
      </c>
      <c r="B186" s="8">
        <v>4</v>
      </c>
      <c r="C186" s="7" t="s">
        <v>207</v>
      </c>
      <c r="D186" s="7" t="s">
        <v>2280</v>
      </c>
      <c r="E186" s="8">
        <v>36</v>
      </c>
      <c r="F186" s="8">
        <v>46</v>
      </c>
      <c r="G186" s="8">
        <v>11</v>
      </c>
      <c r="H186" s="7" t="s">
        <v>1982</v>
      </c>
      <c r="I186" s="9" t="s">
        <v>2281</v>
      </c>
      <c r="J186" s="7">
        <v>185</v>
      </c>
      <c r="K186" s="7" t="str">
        <f t="shared" si="0"/>
        <v>CCLF7.CLM_LINE_NDC_CD</v>
      </c>
      <c r="L186" s="7" t="str">
        <f>_xlfn.XLOOKUP("*'"&amp;K186&amp;"'*",Data_Dictionary[cclfMapping],Data_Dictionary[Field Name],,2)</f>
        <v>National Drug Code</v>
      </c>
      <c r="M186" s="7" t="str">
        <f>_xlfn.XLOOKUP("*'"&amp;K186&amp;"'*",Data_Dictionary[cclfMapping],Data_Dictionary[Field Name],,2)</f>
        <v>National Drug Code</v>
      </c>
      <c r="N186" s="7" t="str">
        <f>_xlfn.XLOOKUP("*'"&amp;K186&amp;"'*",Data_Dictionary[cclfMapping],Data_Dictionary[fhirPath],,2)</f>
        <v>(ExplanationOfBenefit.item.productOrService.coding|ExplanationOfBenefit.item.detail.productOrService.coding).where(system = 'http://hl7.org/fhir/sid/ndc').code</v>
      </c>
    </row>
    <row r="187" spans="1:14" ht="84">
      <c r="A187" s="7" t="s">
        <v>2279</v>
      </c>
      <c r="B187" s="8">
        <v>5</v>
      </c>
      <c r="C187" s="7" t="s">
        <v>77</v>
      </c>
      <c r="D187" s="7" t="s">
        <v>73</v>
      </c>
      <c r="E187" s="8">
        <v>47</v>
      </c>
      <c r="F187" s="8">
        <v>48</v>
      </c>
      <c r="G187" s="8">
        <v>2</v>
      </c>
      <c r="H187" s="7" t="s">
        <v>1987</v>
      </c>
      <c r="I187" s="9" t="s">
        <v>2282</v>
      </c>
      <c r="J187" s="7">
        <v>186</v>
      </c>
      <c r="K187" s="7" t="str">
        <f t="shared" si="0"/>
        <v>CCLF7.CLM_TYPE_CD</v>
      </c>
      <c r="L187" s="7" t="str">
        <f>_xlfn.XLOOKUP("*'"&amp;K187&amp;"'*",Data_Dictionary[cclfMapping],Data_Dictionary[Field Name],,2)</f>
        <v>Claim Type Code</v>
      </c>
      <c r="M187" s="7" t="str">
        <f>_xlfn.XLOOKUP("*'"&amp;K187&amp;"'*",Data_Dictionary[cclfMapping],Data_Dictionary[Field Name],,2)</f>
        <v>Claim Type Code</v>
      </c>
      <c r="N187" s="7" t="str">
        <f>_xlfn.XLOOKUP("*'"&amp;K187&amp;"'*",Data_Dictionary[cclfMapping],Data_Dictionary[fhirPath],,2)</f>
        <v>ExplanationOfBenefit.type.coding.where(system = 'https://bluebutton.cms.gov/fhir/CodeSystem/CLM-TYPE-CD').code</v>
      </c>
    </row>
    <row r="188" spans="1:14" ht="24">
      <c r="A188" s="7" t="s">
        <v>2279</v>
      </c>
      <c r="B188" s="8">
        <v>6</v>
      </c>
      <c r="C188" s="7" t="s">
        <v>199</v>
      </c>
      <c r="D188" s="7" t="s">
        <v>2098</v>
      </c>
      <c r="E188" s="8">
        <v>49</v>
      </c>
      <c r="F188" s="8">
        <v>58</v>
      </c>
      <c r="G188" s="8">
        <v>10</v>
      </c>
      <c r="H188" s="7" t="s">
        <v>1989</v>
      </c>
      <c r="I188" s="7" t="s">
        <v>2283</v>
      </c>
      <c r="J188" s="7">
        <v>187</v>
      </c>
      <c r="K188" s="7" t="str">
        <f t="shared" si="0"/>
        <v>CCLF7.CLM_LINE_FROM_DT</v>
      </c>
      <c r="L188" s="7" t="str">
        <f>_xlfn.XLOOKUP("*'"&amp;K188&amp;"'*",Data_Dictionary[cclfMapping],Data_Dictionary[Field Name],,2)</f>
        <v>Line Item From Date</v>
      </c>
      <c r="M188" s="7" t="str">
        <f>_xlfn.XLOOKUP("*'"&amp;K188&amp;"'*",Data_Dictionary[cclfMapping],Data_Dictionary[Field Name],,2)</f>
        <v>Line Item From Date</v>
      </c>
      <c r="N188" s="7" t="str">
        <f>_xlfn.XLOOKUP("*'"&amp;K188&amp;"'*",Data_Dictionary[cclfMapping],Data_Dictionary[fhirPath],,2)</f>
        <v>ExplanationOfBenefit.item.serviced</v>
      </c>
    </row>
    <row r="189" spans="1:14" ht="107.25">
      <c r="A189" s="7" t="s">
        <v>2279</v>
      </c>
      <c r="B189" s="8">
        <v>7</v>
      </c>
      <c r="C189" s="7" t="s">
        <v>118</v>
      </c>
      <c r="D189" s="7" t="s">
        <v>115</v>
      </c>
      <c r="E189" s="8">
        <v>59</v>
      </c>
      <c r="F189" s="8">
        <v>60</v>
      </c>
      <c r="G189" s="8">
        <v>2</v>
      </c>
      <c r="H189" s="7" t="s">
        <v>2005</v>
      </c>
      <c r="I189" s="9" t="s">
        <v>2284</v>
      </c>
      <c r="J189" s="7">
        <v>188</v>
      </c>
      <c r="K189" s="7" t="str">
        <f t="shared" si="0"/>
        <v>CCLF7.PRVDR_SRVC_ID_QLFYR_CD</v>
      </c>
      <c r="L189" s="7" t="str">
        <f>_xlfn.XLOOKUP("*'"&amp;K189&amp;"'*",Data_Dictionary[cclfMapping],Data_Dictionary[Field Name],,2)</f>
        <v>Provider Service Identifier Qualifier Code</v>
      </c>
      <c r="M189" s="7" t="str">
        <f>_xlfn.XLOOKUP("*'"&amp;K189&amp;"'*",Data_Dictionary[cclfMapping],Data_Dictionary[Field Name],,2)</f>
        <v>Provider Service Identifier Qualifier Code</v>
      </c>
      <c r="N189" s="7" t="str">
        <f>_xlfn.XLOOKUP("*'"&amp;K189&amp;"'*",Data_Dictionary[cclfMapping],Data_Dictionary[fhirPath],,2)</f>
        <v>ExplanationOfBenefit.contained.where(id = %context.provider.reference.substring(1)).identifier.type.where(system='http://bluebutton.cms.gov/fhir/CodeSystem/PRVDR-ID-QLFYR-CD').code</v>
      </c>
    </row>
    <row r="190" spans="1:14" ht="24">
      <c r="A190" s="7" t="s">
        <v>2279</v>
      </c>
      <c r="B190" s="8">
        <v>8</v>
      </c>
      <c r="C190" s="7" t="s">
        <v>107</v>
      </c>
      <c r="D190" s="7" t="s">
        <v>2285</v>
      </c>
      <c r="E190" s="8">
        <v>61</v>
      </c>
      <c r="F190" s="8">
        <v>80</v>
      </c>
      <c r="G190" s="8">
        <v>20</v>
      </c>
      <c r="H190" s="7" t="s">
        <v>1967</v>
      </c>
      <c r="I190" s="7" t="s">
        <v>2286</v>
      </c>
      <c r="J190" s="7">
        <v>189</v>
      </c>
      <c r="K190" s="7" t="str">
        <f t="shared" si="0"/>
        <v>CCLF7.CLM_SRVC_PRVDR_GNRC_ID_NUM</v>
      </c>
      <c r="L190" s="7" t="str">
        <f>_xlfn.XLOOKUP("*'"&amp;K190&amp;"'*",Data_Dictionary[cclfMapping],Data_Dictionary[Field Name],,2)</f>
        <v>Service Provider Generic ID Number</v>
      </c>
      <c r="M190" s="7" t="str">
        <f>_xlfn.XLOOKUP("*'"&amp;K190&amp;"'*",Data_Dictionary[cclfMapping],Data_Dictionary[Field Name],,2)</f>
        <v>Service Provider Generic ID Number</v>
      </c>
      <c r="N190" s="7" t="str">
        <f>_xlfn.XLOOKUP("*'"&amp;K190&amp;"'*",Data_Dictionary[cclfMapping],Data_Dictionary[fhirPath],,2)</f>
        <v>ExplanationOfBenefit.contained.where(id = %context.provider.reference.substring(1)).identifier.where(system='http://bluebutton.cms.gov/fhir/identifiers/GenericIdNum').value</v>
      </c>
    </row>
    <row r="191" spans="1:14" ht="48">
      <c r="A191" s="7" t="s">
        <v>2279</v>
      </c>
      <c r="B191" s="8">
        <v>9</v>
      </c>
      <c r="C191" s="7" t="s">
        <v>354</v>
      </c>
      <c r="D191" s="7" t="s">
        <v>2287</v>
      </c>
      <c r="E191" s="8">
        <v>81</v>
      </c>
      <c r="F191" s="8">
        <v>81</v>
      </c>
      <c r="G191" s="8">
        <v>1</v>
      </c>
      <c r="H191" s="7" t="s">
        <v>1993</v>
      </c>
      <c r="I191" s="9" t="s">
        <v>2288</v>
      </c>
      <c r="J191" s="7">
        <v>190</v>
      </c>
      <c r="K191" s="7" t="str">
        <f t="shared" si="0"/>
        <v>CCLF7.CLM_DSPNSNG_STUS_CD</v>
      </c>
      <c r="L191" s="7" t="str">
        <f>_xlfn.XLOOKUP("*'"&amp;K191&amp;"'*",Data_Dictionary[cclfMapping],Data_Dictionary[Field Name],,2)</f>
        <v>Dispensing Status Code</v>
      </c>
      <c r="M191" s="7" t="str">
        <f>_xlfn.XLOOKUP("*'"&amp;K191&amp;"'*",Data_Dictionary[cclfMapping],Data_Dictionary[Field Name],,2)</f>
        <v>Dispensing Status Code</v>
      </c>
      <c r="N191" s="7" t="str">
        <f>_xlfn.XLOOKUP("*'"&amp;K191&amp;"'*",Data_Dictionary[cclfMapping],Data_Dictionary[fhirPath],,2)</f>
        <v>ExplanationOfBenefit.supportingInfo.code.coding.where(system='https://bluebutton.cms.gov/fhir/CodeSystem/CLM-DSPNSNG-STUS-CD').code</v>
      </c>
    </row>
    <row r="192" spans="1:14" ht="190.5">
      <c r="A192" s="7" t="s">
        <v>2279</v>
      </c>
      <c r="B192" s="8">
        <v>10</v>
      </c>
      <c r="C192" s="7" t="s">
        <v>327</v>
      </c>
      <c r="D192" s="7" t="s">
        <v>2289</v>
      </c>
      <c r="E192" s="8">
        <v>82</v>
      </c>
      <c r="F192" s="8">
        <v>82</v>
      </c>
      <c r="G192" s="8">
        <v>1</v>
      </c>
      <c r="H192" s="7" t="s">
        <v>1993</v>
      </c>
      <c r="I192" s="9" t="s">
        <v>2290</v>
      </c>
      <c r="J192" s="7">
        <v>191</v>
      </c>
      <c r="K192" s="7" t="str">
        <f t="shared" si="0"/>
        <v>CCLF7.CLM_DAW_PROD_SLCTN_CD</v>
      </c>
      <c r="L192" s="7" t="str">
        <f>_xlfn.XLOOKUP("*'"&amp;K192&amp;"'*",Data_Dictionary[cclfMapping],Data_Dictionary[Field Name],,2)</f>
        <v>DAW Product Selection Code</v>
      </c>
      <c r="M192" s="7" t="str">
        <f>_xlfn.XLOOKUP("*'"&amp;K192&amp;"'*",Data_Dictionary[cclfMapping],Data_Dictionary[Field Name],,2)</f>
        <v>DAW Product Selection Code</v>
      </c>
      <c r="N192" s="7" t="str">
        <f>_xlfn.XLOOKUP("*'"&amp;K192&amp;"'*",Data_Dictionary[cclfMapping],Data_Dictionary[fhirPath],,2)</f>
        <v>ExplanationOfBenefit.supportingInfo.code.coding.where(system='http://terminology.hl7.org/CodeSystem/NCPDPDispensedAsWrittenOrProductSelectionCode').code</v>
      </c>
    </row>
    <row r="193" spans="1:14" ht="36">
      <c r="A193" s="7" t="s">
        <v>2279</v>
      </c>
      <c r="B193" s="8">
        <v>11</v>
      </c>
      <c r="C193" s="7" t="s">
        <v>603</v>
      </c>
      <c r="D193" s="7" t="s">
        <v>2114</v>
      </c>
      <c r="E193" s="8">
        <v>83</v>
      </c>
      <c r="F193" s="8">
        <v>106</v>
      </c>
      <c r="G193" s="8">
        <v>24</v>
      </c>
      <c r="H193" s="7" t="s">
        <v>2115</v>
      </c>
      <c r="I193" s="7" t="s">
        <v>2203</v>
      </c>
      <c r="J193" s="7">
        <v>192</v>
      </c>
      <c r="K193" s="7" t="str">
        <f t="shared" si="0"/>
        <v>CCLF7.CLM_LINE_SRVC_UNIT_QTY</v>
      </c>
      <c r="L193" s="7" t="str">
        <f>_xlfn.XLOOKUP("*'"&amp;K193&amp;"'*",Data_Dictionary[cclfMapping],Data_Dictionary[Field Name],,2)</f>
        <v>Line Item NDC Quantity</v>
      </c>
      <c r="M193" s="7" t="str">
        <f>_xlfn.XLOOKUP("*'"&amp;K193&amp;"'*",Data_Dictionary[cclfMapping],Data_Dictionary[Field Name],,2)</f>
        <v>Line Item NDC Quantity</v>
      </c>
      <c r="N193" s="7" t="str">
        <f>_xlfn.XLOOKUP("*'"&amp;K193&amp;"'*",Data_Dictionary[cclfMapping],Data_Dictionary[fhirPath],,2)</f>
        <v>(ExplanationOfBenefit.item.quantity|ExplanationOfBenefit.item.detail.quantity).value</v>
      </c>
    </row>
    <row r="194" spans="1:14" ht="24">
      <c r="A194" s="7" t="s">
        <v>2279</v>
      </c>
      <c r="B194" s="8">
        <v>12</v>
      </c>
      <c r="C194" s="7" t="s">
        <v>317</v>
      </c>
      <c r="D194" s="7" t="s">
        <v>2291</v>
      </c>
      <c r="E194" s="8">
        <v>107</v>
      </c>
      <c r="F194" s="8">
        <v>115</v>
      </c>
      <c r="G194" s="8">
        <v>9</v>
      </c>
      <c r="H194" s="7" t="s">
        <v>2292</v>
      </c>
      <c r="I194" s="7" t="s">
        <v>2293</v>
      </c>
      <c r="J194" s="7">
        <v>193</v>
      </c>
      <c r="K194" s="7" t="str">
        <f t="shared" si="0"/>
        <v>CCLF7.CLM_LINE_DAYS_SUPLY_QTY</v>
      </c>
      <c r="L194" s="7" t="e">
        <f>_xlfn.XLOOKUP("*'"&amp;K194&amp;"'*",Data_Dictionary[cclfMapping],Data_Dictionary[Field Name],,2)</f>
        <v>#N/A</v>
      </c>
      <c r="M194" s="7" t="e">
        <f>_xlfn.XLOOKUP("*'"&amp;K194&amp;"'*",Data_Dictionary[cclfMapping],Data_Dictionary[Field Name],,2)</f>
        <v>#N/A</v>
      </c>
      <c r="N194" s="7" t="e">
        <f>_xlfn.XLOOKUP("*'"&amp;K194&amp;"'*",Data_Dictionary[cclfMapping],Data_Dictionary[fhirPath],,2)</f>
        <v>#N/A</v>
      </c>
    </row>
    <row r="195" spans="1:14" ht="107.25">
      <c r="A195" s="7" t="s">
        <v>2279</v>
      </c>
      <c r="B195" s="8">
        <v>13</v>
      </c>
      <c r="C195" s="7" t="s">
        <v>124</v>
      </c>
      <c r="D195" s="7" t="s">
        <v>2294</v>
      </c>
      <c r="E195" s="8">
        <v>116</v>
      </c>
      <c r="F195" s="8">
        <v>117</v>
      </c>
      <c r="G195" s="8">
        <v>2</v>
      </c>
      <c r="H195" s="7" t="s">
        <v>2005</v>
      </c>
      <c r="I195" s="9" t="s">
        <v>2295</v>
      </c>
      <c r="J195" s="7">
        <v>194</v>
      </c>
      <c r="K195" s="7" t="str">
        <f t="shared" si="0"/>
        <v>CCLF7.PRVDR_PRSBNG_ID_QLFYR_CD</v>
      </c>
      <c r="L195" s="7" t="str">
        <f>_xlfn.XLOOKUP("*'"&amp;K195&amp;"'*",Data_Dictionary[cclfMapping],Data_Dictionary[Field Name],,2)</f>
        <v>Provider Prescribing Identifier Qualifier Code</v>
      </c>
      <c r="M195" s="7" t="str">
        <f>_xlfn.XLOOKUP("*'"&amp;K195&amp;"'*",Data_Dictionary[cclfMapping],Data_Dictionary[Field Name],,2)</f>
        <v>Provider Prescribing Identifier Qualifier Code</v>
      </c>
      <c r="N195" s="7" t="str">
        <f>_xlfn.XLOOKUP("*'"&amp;K195&amp;"'*",Data_Dictionary[cclfMapping],Data_Dictionary[fhirPath],,2)</f>
        <v>ExplanationOfBenefit.careTeam.where(role.coding.where(code = 'prescribing').exists()).provider.identifier.type.coding.where(system='http://bluebutton.cms.gov/fhir/CodeSystem/PRVDR-ID-QLFYR-CD').code</v>
      </c>
    </row>
    <row r="196" spans="1:14" ht="36">
      <c r="A196" s="7" t="s">
        <v>2279</v>
      </c>
      <c r="B196" s="8">
        <v>14</v>
      </c>
      <c r="C196" s="7" t="s">
        <v>129</v>
      </c>
      <c r="D196" s="7" t="s">
        <v>2296</v>
      </c>
      <c r="E196" s="8">
        <v>118</v>
      </c>
      <c r="F196" s="8">
        <v>137</v>
      </c>
      <c r="G196" s="8">
        <v>20</v>
      </c>
      <c r="H196" s="7" t="s">
        <v>1967</v>
      </c>
      <c r="I196" s="7" t="s">
        <v>2297</v>
      </c>
      <c r="J196" s="7">
        <v>195</v>
      </c>
      <c r="K196" s="7" t="str">
        <f t="shared" si="0"/>
        <v>CCLF7.CLM_PRSBNG_PRVDR_GNRC_ID_NUM</v>
      </c>
      <c r="L196" s="7" t="str">
        <f>_xlfn.XLOOKUP("*'"&amp;K196&amp;"'*",Data_Dictionary[cclfMapping],Data_Dictionary[Field Name],,2)</f>
        <v>Prescribing Provider Generic ID Number</v>
      </c>
      <c r="M196" s="7" t="str">
        <f>_xlfn.XLOOKUP("*'"&amp;K196&amp;"'*",Data_Dictionary[cclfMapping],Data_Dictionary[Field Name],,2)</f>
        <v>Prescribing Provider Generic ID Number</v>
      </c>
      <c r="N196" s="7" t="str">
        <f>_xlfn.XLOOKUP("*'"&amp;K196&amp;"'*",Data_Dictionary[cclfMapping],Data_Dictionary[fhirPath],,2)</f>
        <v>ExplanationOfBenefit.careTeam.where(role.coding.where(code='prescribing').exists()).provider.identifier.where(system='http://bluebutton.cms.gov/fhir/identifiers/GenericIdNum').value</v>
      </c>
    </row>
    <row r="197" spans="1:14" ht="36">
      <c r="A197" s="7" t="s">
        <v>2279</v>
      </c>
      <c r="B197" s="8">
        <v>15</v>
      </c>
      <c r="C197" s="7" t="s">
        <v>229</v>
      </c>
      <c r="D197" s="7" t="s">
        <v>2298</v>
      </c>
      <c r="E197" s="8">
        <v>138</v>
      </c>
      <c r="F197" s="8">
        <v>150</v>
      </c>
      <c r="G197" s="8">
        <v>13</v>
      </c>
      <c r="H197" s="7" t="s">
        <v>2299</v>
      </c>
      <c r="I197" s="9" t="s">
        <v>2300</v>
      </c>
      <c r="J197" s="7">
        <v>196</v>
      </c>
      <c r="K197" s="7" t="str">
        <f t="shared" si="0"/>
        <v>CCLF7.CLM_LINE_BENE_PMT_AMT</v>
      </c>
      <c r="L197" s="7" t="str">
        <f>_xlfn.XLOOKUP("*'"&amp;K197&amp;"'*",Data_Dictionary[cclfMapping],Data_Dictionary[Field Name],,2)</f>
        <v>Patient Responsibility Payment Amount</v>
      </c>
      <c r="M197" s="7" t="str">
        <f>_xlfn.XLOOKUP("*'"&amp;K197&amp;"'*",Data_Dictionary[cclfMapping],Data_Dictionary[Field Name],,2)</f>
        <v>Patient Responsibility Payment Amount</v>
      </c>
      <c r="N197" s="7" t="str">
        <f>_xlfn.XLOOKUP("*'"&amp;K197&amp;"'*",Data_Dictionary[cclfMapping],Data_Dictionary[fhirPath],,2)</f>
        <v>ExplanationOfBenefit.item.adjudication.where(category.coding.where(system='http://hl7.org/fhir/us/carin-bb/CodeSystem/C4BBAdjudication' and code='paidbypatient').exists() and category.coding.where(system='https://bluebutton.cms.gov/fhir/CodeSystem/Adjudication' and code='CLM_LINE_BENE_PMT_AMT').exists()).amount.value</v>
      </c>
    </row>
    <row r="198" spans="1:14" ht="72">
      <c r="A198" s="7" t="s">
        <v>2279</v>
      </c>
      <c r="B198" s="8">
        <v>16</v>
      </c>
      <c r="C198" s="7" t="s">
        <v>2033</v>
      </c>
      <c r="D198" s="7" t="s">
        <v>343</v>
      </c>
      <c r="E198" s="8">
        <v>151</v>
      </c>
      <c r="F198" s="8">
        <v>152</v>
      </c>
      <c r="G198" s="8">
        <v>2</v>
      </c>
      <c r="H198" s="7" t="s">
        <v>2005</v>
      </c>
      <c r="I198" s="9" t="s">
        <v>2301</v>
      </c>
      <c r="J198" s="7">
        <v>197</v>
      </c>
      <c r="K198" s="7" t="str">
        <f t="shared" si="0"/>
        <v>CCLF7.CLM_ADJSMT_TYPE_CD</v>
      </c>
      <c r="L198" s="7" t="str">
        <f>_xlfn.XLOOKUP("*'"&amp;K198&amp;"'*",Data_Dictionary[cclfMapping],Data_Dictionary[Field Name],,2)</f>
        <v>Claim Adjustment Type Code</v>
      </c>
      <c r="M198" s="7" t="str">
        <f>_xlfn.XLOOKUP("*'"&amp;K198&amp;"'*",Data_Dictionary[cclfMapping],Data_Dictionary[Field Name],,2)</f>
        <v>Claim Adjustment Type Code</v>
      </c>
      <c r="N198" s="7" t="str">
        <f>_xlfn.XLOOKUP("*'"&amp;K198&amp;"'*",Data_Dictionary[cclfMapping],Data_Dictionary[fhirPath],,2)</f>
        <v>ExplanationOfBenefit.supportingInfo.where(category.coding.where(system='https://bluebutton.cms.gov/fhir/CodeSystem/Supporting-Information').exists() and category.coding.where(code='CLM_ADJSTMT_TYPE_CD').exists()).code.coding.code</v>
      </c>
    </row>
    <row r="199" spans="1:14" ht="36">
      <c r="A199" s="7" t="s">
        <v>2279</v>
      </c>
      <c r="B199" s="8">
        <v>17</v>
      </c>
      <c r="C199" s="7" t="s">
        <v>95</v>
      </c>
      <c r="D199" s="7" t="s">
        <v>92</v>
      </c>
      <c r="E199" s="8">
        <v>153</v>
      </c>
      <c r="F199" s="8">
        <v>162</v>
      </c>
      <c r="G199" s="8">
        <v>10</v>
      </c>
      <c r="H199" s="7" t="s">
        <v>1989</v>
      </c>
      <c r="I199" s="9" t="s">
        <v>2272</v>
      </c>
      <c r="J199" s="7">
        <v>198</v>
      </c>
      <c r="K199" s="7" t="str">
        <f t="shared" si="0"/>
        <v>CCLF7.CLM_EFCTV_DT</v>
      </c>
      <c r="L199" s="7" t="str">
        <f>_xlfn.XLOOKUP("*'"&amp;K199&amp;"'*",Data_Dictionary[cclfMapping],Data_Dictionary[Field Name],,2)</f>
        <v>Claim Effective Date</v>
      </c>
      <c r="M199" s="7" t="str">
        <f>_xlfn.XLOOKUP("*'"&amp;K199&amp;"'*",Data_Dictionary[cclfMapping],Data_Dictionary[Field Name],,2)</f>
        <v>Claim Effective Date</v>
      </c>
      <c r="N199" s="7" t="str">
        <f>_xlfn.XLOOKUP("*'"&amp;K199&amp;"'*",Data_Dictionary[cclfMapping],Data_Dictionary[fhirPath],,2)</f>
        <v>ExplanationOfBenefit.created</v>
      </c>
    </row>
    <row r="200" spans="1:14" ht="24">
      <c r="A200" s="7" t="s">
        <v>2279</v>
      </c>
      <c r="B200" s="8">
        <v>18</v>
      </c>
      <c r="C200" s="7" t="s">
        <v>362</v>
      </c>
      <c r="D200" s="7" t="s">
        <v>358</v>
      </c>
      <c r="E200" s="8">
        <v>163</v>
      </c>
      <c r="F200" s="8">
        <v>172</v>
      </c>
      <c r="G200" s="8">
        <v>10</v>
      </c>
      <c r="H200" s="7" t="s">
        <v>1989</v>
      </c>
      <c r="I200" s="7" t="s">
        <v>2036</v>
      </c>
      <c r="J200" s="7">
        <v>199</v>
      </c>
      <c r="K200" s="7" t="str">
        <f t="shared" si="0"/>
        <v>CCLF7.CLM_IDR_LD_DT</v>
      </c>
      <c r="L200" s="7" t="str">
        <f>_xlfn.XLOOKUP("*'"&amp;K200&amp;"'*",Data_Dictionary[cclfMapping],Data_Dictionary[Field Name],,2)</f>
        <v>Claim IDR Load Date</v>
      </c>
      <c r="M200" s="7" t="str">
        <f>_xlfn.XLOOKUP("*'"&amp;K200&amp;"'*",Data_Dictionary[cclfMapping],Data_Dictionary[Field Name],,2)</f>
        <v>Claim IDR Load Date</v>
      </c>
      <c r="N200" s="7" t="str">
        <f>_xlfn.XLOOKUP("*'"&amp;K200&amp;"'*",Data_Dictionary[cclfMapping],Data_Dictionary[fhirPath],,2)</f>
        <v>ExplanationOfBenefit.supportingInfo.where(category.coding.where(system='https://bluebutton.cms.gov/fhir/CodeSystem/Supporting-Information').exists() and category.coding.where(code='CLM_IDR_LD_DT').exists()).timing</v>
      </c>
    </row>
    <row r="201" spans="1:14" ht="24">
      <c r="A201" s="7" t="s">
        <v>2279</v>
      </c>
      <c r="B201" s="8">
        <v>19</v>
      </c>
      <c r="C201" s="7" t="s">
        <v>2302</v>
      </c>
      <c r="D201" s="7" t="s">
        <v>2303</v>
      </c>
      <c r="E201" s="8">
        <v>173</v>
      </c>
      <c r="F201" s="8">
        <v>184</v>
      </c>
      <c r="G201" s="8">
        <v>12</v>
      </c>
      <c r="H201" s="7" t="s">
        <v>2304</v>
      </c>
      <c r="I201" s="7" t="s">
        <v>2305</v>
      </c>
      <c r="J201" s="7">
        <v>200</v>
      </c>
      <c r="K201" s="7" t="str">
        <f t="shared" si="0"/>
        <v>CCLF7.CLM_LINE_RX_SRVC_RFRNC_NUM</v>
      </c>
      <c r="L201" s="7" t="str">
        <f>_xlfn.XLOOKUP("*'"&amp;K201&amp;"'*",Data_Dictionary[cclfMapping],Data_Dictionary[Field Name],,2)</f>
        <v>RX Number</v>
      </c>
      <c r="M201" s="7" t="str">
        <f>_xlfn.XLOOKUP("*'"&amp;K201&amp;"'*",Data_Dictionary[cclfMapping],Data_Dictionary[Field Name],,2)</f>
        <v>RX Number</v>
      </c>
      <c r="N201" s="7" t="str">
        <f>_xlfn.XLOOKUP("*'"&amp;K201&amp;"'*",Data_Dictionary[cclfMapping],Data_Dictionary[fhirPath],,2)</f>
        <v>ExplanationOfBenefit.supportingInfo.where(category.coding.where(system='https://bluebutton.cms.gov/fhir/CodeSystem/Supporting-Information' and code='CLM_LINE_RX_NUM').exists()).value</v>
      </c>
    </row>
    <row r="202" spans="1:14" ht="36">
      <c r="A202" s="7" t="s">
        <v>2279</v>
      </c>
      <c r="B202" s="8">
        <v>20</v>
      </c>
      <c r="C202" s="7" t="s">
        <v>322</v>
      </c>
      <c r="D202" s="7" t="s">
        <v>2306</v>
      </c>
      <c r="E202" s="8">
        <v>185</v>
      </c>
      <c r="F202" s="8">
        <v>193</v>
      </c>
      <c r="G202" s="8">
        <v>9</v>
      </c>
      <c r="H202" s="7" t="s">
        <v>2307</v>
      </c>
      <c r="I202" s="7" t="s">
        <v>2308</v>
      </c>
      <c r="J202" s="7">
        <v>201</v>
      </c>
      <c r="K202" s="7" t="str">
        <f t="shared" si="0"/>
        <v>CCLF7.CLM_LINE_RX_FILL_NUM</v>
      </c>
      <c r="L202" s="7" t="str">
        <f>_xlfn.XLOOKUP("*'"&amp;K202&amp;"'*",Data_Dictionary[cclfMapping],Data_Dictionary[Field Name],,2)</f>
        <v>RX Fill Number</v>
      </c>
      <c r="M202" s="7" t="str">
        <f>_xlfn.XLOOKUP("*'"&amp;K202&amp;"'*",Data_Dictionary[cclfMapping],Data_Dictionary[Field Name],,2)</f>
        <v>RX Fill Number</v>
      </c>
      <c r="N202" s="7" t="str">
        <f>_xlfn.XLOOKUP("*'"&amp;K202&amp;"'*",Data_Dictionary[cclfMapping],Data_Dictionary[fhirPath],,2)</f>
        <v>ExplanationOfBenefit.supportingInfo.where(category.coding.where(system='http://hl7.org/fhir/us/carin-bb/CodeSystem/C4BBSupportingInfoType' and code='refillnum').exists()).valueQuantity.value</v>
      </c>
    </row>
    <row r="203" spans="1:14" ht="154.5">
      <c r="A203" s="7" t="s">
        <v>2279</v>
      </c>
      <c r="B203" s="8">
        <v>21</v>
      </c>
      <c r="C203" s="7" t="s">
        <v>276</v>
      </c>
      <c r="D203" s="7" t="s">
        <v>2309</v>
      </c>
      <c r="E203" s="8">
        <v>194</v>
      </c>
      <c r="F203" s="8">
        <v>195</v>
      </c>
      <c r="G203" s="8">
        <v>2</v>
      </c>
      <c r="H203" s="7" t="s">
        <v>2005</v>
      </c>
      <c r="I203" s="9" t="s">
        <v>2310</v>
      </c>
      <c r="J203" s="7">
        <v>202</v>
      </c>
      <c r="K203" s="7" t="str">
        <f t="shared" si="0"/>
        <v>CCLF7.CLM_PHRMCY_SRVC_TYPE_CD</v>
      </c>
      <c r="L203" s="7" t="str">
        <f>_xlfn.XLOOKUP("*'"&amp;K203&amp;"'*",Data_Dictionary[cclfMapping],Data_Dictionary[Field Name],,2)</f>
        <v>Pharmacy Service Type Code</v>
      </c>
      <c r="M203" s="7" t="str">
        <f>_xlfn.XLOOKUP("*'"&amp;K203&amp;"'*",Data_Dictionary[cclfMapping],Data_Dictionary[Field Name],,2)</f>
        <v>Pharmacy Service Type Code</v>
      </c>
      <c r="N203" s="7" t="str">
        <f>_xlfn.XLOOKUP("*'"&amp;K203&amp;"'*",Data_Dictionary[cclfMapping],Data_Dictionary[fhirPath],,2)</f>
        <v>ExplanationOfBenefit.supportingInfo.where(category.coding.where(system='https://bluebutton.cms.gov/fhir/CodeSystem/Supporting-Information' and code='CLM_PHRMCY_SRVC_TYPE_CD').exists()).code.coding.where(system='https://bluebutton.cms.gov/fhir/CodeSystem/CLM-PHRMCY-SRVC-TYPE-CD').code</v>
      </c>
    </row>
    <row r="204" spans="1:14" ht="24">
      <c r="A204" s="7" t="s">
        <v>2311</v>
      </c>
      <c r="B204" s="8">
        <v>1</v>
      </c>
      <c r="C204" s="7" t="s">
        <v>1739</v>
      </c>
      <c r="D204" s="7" t="s">
        <v>1734</v>
      </c>
      <c r="E204" s="8">
        <v>1</v>
      </c>
      <c r="F204" s="8">
        <v>11</v>
      </c>
      <c r="G204" s="8">
        <v>11</v>
      </c>
      <c r="H204" s="7" t="s">
        <v>1982</v>
      </c>
      <c r="I204" s="9" t="s">
        <v>2095</v>
      </c>
      <c r="J204" s="7">
        <v>203</v>
      </c>
      <c r="K204" s="7" t="str">
        <f t="shared" si="0"/>
        <v>CCLF8.BENE_MBI_ID</v>
      </c>
      <c r="L204" s="7" t="str">
        <f>_xlfn.XLOOKUP("*'"&amp;K204&amp;"'*",Data_Dictionary[cclfMapping],Data_Dictionary[Field Name],,2)</f>
        <v>Medicare Beneficiary Identifier</v>
      </c>
      <c r="M204" s="7" t="str">
        <f>_xlfn.XLOOKUP("*'"&amp;K204&amp;"'*",Data_Dictionary[cclfMapping],Data_Dictionary[Field Name],,2)</f>
        <v>Medicare Beneficiary Identifier</v>
      </c>
      <c r="N204" s="7" t="str">
        <f>_xlfn.XLOOKUP("*'"&amp;K204&amp;"'*",Data_Dictionary[cclfMapping],Data_Dictionary[fhirPath],,2)</f>
        <v>Patient.identifier.where(system='http://hl7.org/fhir/sid/us-mbi').value</v>
      </c>
    </row>
    <row r="205" spans="1:14" ht="84">
      <c r="A205" s="7" t="s">
        <v>2311</v>
      </c>
      <c r="B205" s="8">
        <v>2</v>
      </c>
      <c r="C205" s="7" t="s">
        <v>1984</v>
      </c>
      <c r="D205" s="7" t="s">
        <v>1985</v>
      </c>
      <c r="E205" s="8">
        <v>12</v>
      </c>
      <c r="F205" s="8">
        <v>22</v>
      </c>
      <c r="G205" s="8">
        <v>11</v>
      </c>
      <c r="H205" s="7" t="s">
        <v>1982</v>
      </c>
      <c r="I205" s="9" t="s">
        <v>2312</v>
      </c>
      <c r="J205" s="7">
        <v>204</v>
      </c>
      <c r="K205" s="7" t="str">
        <f t="shared" si="0"/>
        <v>CCLF8.BENE_HIC_NUM</v>
      </c>
      <c r="L205" s="7" t="e">
        <f>_xlfn.XLOOKUP("*'"&amp;K205&amp;"'*",Data_Dictionary[cclfMapping],Data_Dictionary[Field Name],,2)</f>
        <v>#N/A</v>
      </c>
      <c r="M205" s="7" t="e">
        <f>_xlfn.XLOOKUP("*'"&amp;K205&amp;"'*",Data_Dictionary[cclfMapping],Data_Dictionary[Field Name],,2)</f>
        <v>#N/A</v>
      </c>
      <c r="N205" s="7" t="e">
        <f>_xlfn.XLOOKUP("*'"&amp;K205&amp;"'*",Data_Dictionary[cclfMapping],Data_Dictionary[fhirPath],,2)</f>
        <v>#N/A</v>
      </c>
    </row>
    <row r="206" spans="1:14" ht="24">
      <c r="A206" s="7" t="s">
        <v>2311</v>
      </c>
      <c r="B206" s="8">
        <v>3</v>
      </c>
      <c r="C206" s="7" t="s">
        <v>2313</v>
      </c>
      <c r="D206" s="7" t="s">
        <v>2314</v>
      </c>
      <c r="E206" s="8">
        <v>23</v>
      </c>
      <c r="F206" s="8">
        <v>24</v>
      </c>
      <c r="G206" s="8">
        <v>2</v>
      </c>
      <c r="H206" s="7" t="s">
        <v>1987</v>
      </c>
      <c r="I206" s="9" t="s">
        <v>2315</v>
      </c>
      <c r="J206" s="7">
        <v>205</v>
      </c>
      <c r="K206" s="7" t="str">
        <f t="shared" si="0"/>
        <v>CCLF8.BENE_FIPS_STATE_CD</v>
      </c>
      <c r="L206" s="7" t="e">
        <f>_xlfn.XLOOKUP("*'"&amp;K206&amp;"'*",Data_Dictionary[cclfMapping],Data_Dictionary[Field Name],,2)</f>
        <v>#N/A</v>
      </c>
      <c r="M206" s="7" t="e">
        <f>_xlfn.XLOOKUP("*'"&amp;K206&amp;"'*",Data_Dictionary[cclfMapping],Data_Dictionary[Field Name],,2)</f>
        <v>#N/A</v>
      </c>
      <c r="N206" s="7" t="e">
        <f>_xlfn.XLOOKUP("*'"&amp;K206&amp;"'*",Data_Dictionary[cclfMapping],Data_Dictionary[fhirPath],,2)</f>
        <v>#N/A</v>
      </c>
    </row>
    <row r="207" spans="1:14" ht="24">
      <c r="A207" s="7" t="s">
        <v>2311</v>
      </c>
      <c r="B207" s="8">
        <v>4</v>
      </c>
      <c r="C207" s="7" t="s">
        <v>2316</v>
      </c>
      <c r="D207" s="7" t="s">
        <v>2317</v>
      </c>
      <c r="E207" s="8">
        <v>25</v>
      </c>
      <c r="F207" s="8">
        <v>27</v>
      </c>
      <c r="G207" s="8">
        <v>3</v>
      </c>
      <c r="H207" s="7" t="s">
        <v>2318</v>
      </c>
      <c r="I207" s="9" t="s">
        <v>2319</v>
      </c>
      <c r="J207" s="7">
        <v>206</v>
      </c>
      <c r="K207" s="7" t="str">
        <f t="shared" si="0"/>
        <v>CCLF8.BENE_FIPS_CNTY_CD</v>
      </c>
      <c r="L207" s="7" t="e">
        <f>_xlfn.XLOOKUP("*'"&amp;K207&amp;"'*",Data_Dictionary[cclfMapping],Data_Dictionary[Field Name],,2)</f>
        <v>#N/A</v>
      </c>
      <c r="M207" s="7" t="e">
        <f>_xlfn.XLOOKUP("*'"&amp;K207&amp;"'*",Data_Dictionary[cclfMapping],Data_Dictionary[Field Name],,2)</f>
        <v>#N/A</v>
      </c>
      <c r="N207" s="7" t="e">
        <f>_xlfn.XLOOKUP("*'"&amp;K207&amp;"'*",Data_Dictionary[cclfMapping],Data_Dictionary[fhirPath],,2)</f>
        <v>#N/A</v>
      </c>
    </row>
    <row r="208" spans="1:14" ht="24">
      <c r="A208" s="7" t="s">
        <v>2311</v>
      </c>
      <c r="B208" s="8">
        <v>5</v>
      </c>
      <c r="C208" s="7" t="s">
        <v>2320</v>
      </c>
      <c r="D208" s="7" t="s">
        <v>2321</v>
      </c>
      <c r="E208" s="8">
        <v>28</v>
      </c>
      <c r="F208" s="8">
        <v>32</v>
      </c>
      <c r="G208" s="8">
        <v>5</v>
      </c>
      <c r="H208" s="7" t="s">
        <v>2108</v>
      </c>
      <c r="I208" s="9" t="s">
        <v>2322</v>
      </c>
      <c r="J208" s="7">
        <v>207</v>
      </c>
      <c r="K208" s="7" t="str">
        <f t="shared" si="0"/>
        <v>CCLF8.BENE_ZIP_CD</v>
      </c>
      <c r="L208" s="7" t="e">
        <f>_xlfn.XLOOKUP("*'"&amp;K208&amp;"'*",Data_Dictionary[cclfMapping],Data_Dictionary[Field Name],,2)</f>
        <v>#N/A</v>
      </c>
      <c r="M208" s="7" t="e">
        <f>_xlfn.XLOOKUP("*'"&amp;K208&amp;"'*",Data_Dictionary[cclfMapping],Data_Dictionary[Field Name],,2)</f>
        <v>#N/A</v>
      </c>
      <c r="N208" s="7" t="e">
        <f>_xlfn.XLOOKUP("*'"&amp;K208&amp;"'*",Data_Dictionary[cclfMapping],Data_Dictionary[fhirPath],,2)</f>
        <v>#N/A</v>
      </c>
    </row>
    <row r="209" spans="1:14" ht="12.75">
      <c r="A209" s="7" t="s">
        <v>2311</v>
      </c>
      <c r="B209" s="8">
        <v>6</v>
      </c>
      <c r="C209" s="7" t="s">
        <v>2323</v>
      </c>
      <c r="D209" s="7" t="s">
        <v>1666</v>
      </c>
      <c r="E209" s="8">
        <v>33</v>
      </c>
      <c r="F209" s="8">
        <v>42</v>
      </c>
      <c r="G209" s="8">
        <v>10</v>
      </c>
      <c r="H209" s="7" t="s">
        <v>1989</v>
      </c>
      <c r="I209" s="9" t="s">
        <v>2324</v>
      </c>
      <c r="J209" s="7">
        <v>208</v>
      </c>
      <c r="K209" s="7" t="str">
        <f t="shared" si="0"/>
        <v>CCLF8.BENE_DOB</v>
      </c>
      <c r="L209" s="7" t="str">
        <f>_xlfn.XLOOKUP("*'"&amp;K209&amp;"'*",Data_Dictionary[cclfMapping],Data_Dictionary[Field Name],,2)</f>
        <v>Beneficiary Date of Birth</v>
      </c>
      <c r="M209" s="7" t="str">
        <f>_xlfn.XLOOKUP("*'"&amp;K209&amp;"'*",Data_Dictionary[cclfMapping],Data_Dictionary[Field Name],,2)</f>
        <v>Beneficiary Date of Birth</v>
      </c>
      <c r="N209" s="7" t="str">
        <f>_xlfn.XLOOKUP("*'"&amp;K209&amp;"'*",Data_Dictionary[cclfMapping],Data_Dictionary[fhirPath],,2)</f>
        <v>Patient.birthDate</v>
      </c>
    </row>
    <row r="210" spans="1:14" ht="60">
      <c r="A210" s="7" t="s">
        <v>2311</v>
      </c>
      <c r="B210" s="8">
        <v>7</v>
      </c>
      <c r="C210" s="7" t="s">
        <v>1724</v>
      </c>
      <c r="D210" s="7" t="s">
        <v>1720</v>
      </c>
      <c r="E210" s="8">
        <v>43</v>
      </c>
      <c r="F210" s="8">
        <v>43</v>
      </c>
      <c r="G210" s="8">
        <v>1</v>
      </c>
      <c r="H210" s="7" t="s">
        <v>1993</v>
      </c>
      <c r="I210" s="9" t="s">
        <v>2325</v>
      </c>
      <c r="J210" s="7">
        <v>209</v>
      </c>
      <c r="K210" s="7" t="str">
        <f t="shared" si="0"/>
        <v>CCLF8.BENE_SEX_CD</v>
      </c>
      <c r="L210" s="7" t="str">
        <f>_xlfn.XLOOKUP("*'"&amp;K210&amp;"'*",Data_Dictionary[cclfMapping],Data_Dictionary[Field Name],,2)</f>
        <v>Beneficiary Sex Code</v>
      </c>
      <c r="M210" s="7" t="str">
        <f>_xlfn.XLOOKUP("*'"&amp;K210&amp;"'*",Data_Dictionary[cclfMapping],Data_Dictionary[Field Name],,2)</f>
        <v>Beneficiary Sex Code</v>
      </c>
      <c r="N210" s="7" t="str">
        <f>_xlfn.XLOOKUP("*'"&amp;K210&amp;"'*",Data_Dictionary[cclfMapping],Data_Dictionary[fhirPath],,2)</f>
        <v>Patient.extension.where(url='http://hl7.org/fhir/us/core/StructureDefinition/us-core-sex').value</v>
      </c>
    </row>
    <row r="211" spans="1:14" ht="107.25">
      <c r="A211" s="7" t="s">
        <v>2311</v>
      </c>
      <c r="B211" s="8">
        <v>8</v>
      </c>
      <c r="C211" s="7" t="s">
        <v>1731</v>
      </c>
      <c r="D211" s="7" t="s">
        <v>1727</v>
      </c>
      <c r="E211" s="8">
        <v>44</v>
      </c>
      <c r="F211" s="8">
        <v>44</v>
      </c>
      <c r="G211" s="8">
        <v>1</v>
      </c>
      <c r="H211" s="7" t="s">
        <v>1993</v>
      </c>
      <c r="I211" s="9" t="s">
        <v>2326</v>
      </c>
      <c r="J211" s="7">
        <v>210</v>
      </c>
      <c r="K211" s="7" t="str">
        <f t="shared" si="0"/>
        <v>CCLF8.BENE_RACE_CD</v>
      </c>
      <c r="L211" s="7" t="str">
        <f>_xlfn.XLOOKUP("*'"&amp;K211&amp;"'*",Data_Dictionary[cclfMapping],Data_Dictionary[Field Name],,2)</f>
        <v>Beneficiary Race Code</v>
      </c>
      <c r="M211" s="7" t="str">
        <f>_xlfn.XLOOKUP("*'"&amp;K211&amp;"'*",Data_Dictionary[cclfMapping],Data_Dictionary[Field Name],,2)</f>
        <v>Beneficiary Race Code</v>
      </c>
      <c r="N211" s="7" t="str">
        <f>_xlfn.XLOOKUP("*'"&amp;K211&amp;"'*",Data_Dictionary[cclfMapping],Data_Dictionary[fhirPath],,2)</f>
        <v>Patient.extension.where(url='http://hl7.org/fhir/us/core/StructureDefinition/us-core-ethnicity' or url='http://hl7.org/fhir/us/core/StructureDefinition/us-core-race').extension.valueCoding</v>
      </c>
    </row>
    <row r="212" spans="1:14" ht="24">
      <c r="A212" s="7" t="s">
        <v>2311</v>
      </c>
      <c r="B212" s="8">
        <v>9</v>
      </c>
      <c r="C212" s="7" t="s">
        <v>2327</v>
      </c>
      <c r="D212" s="7" t="s">
        <v>2328</v>
      </c>
      <c r="E212" s="8">
        <v>45</v>
      </c>
      <c r="F212" s="8">
        <v>47</v>
      </c>
      <c r="G212" s="8">
        <v>3</v>
      </c>
      <c r="H212" s="7" t="s">
        <v>2318</v>
      </c>
      <c r="I212" s="9" t="s">
        <v>2329</v>
      </c>
      <c r="J212" s="7">
        <v>211</v>
      </c>
      <c r="K212" s="7" t="str">
        <f t="shared" si="0"/>
        <v>CCLF8.BENE_AGE</v>
      </c>
      <c r="L212" s="7" t="e">
        <f>_xlfn.XLOOKUP("*'"&amp;K212&amp;"'*",Data_Dictionary[cclfMapping],Data_Dictionary[Field Name],,2)</f>
        <v>#N/A</v>
      </c>
      <c r="M212" s="7" t="e">
        <f>_xlfn.XLOOKUP("*'"&amp;K212&amp;"'*",Data_Dictionary[cclfMapping],Data_Dictionary[Field Name],,2)</f>
        <v>#N/A</v>
      </c>
      <c r="N212" s="7" t="e">
        <f>_xlfn.XLOOKUP("*'"&amp;K212&amp;"'*",Data_Dictionary[cclfMapping],Data_Dictionary[fhirPath],,2)</f>
        <v>#N/A</v>
      </c>
    </row>
    <row r="213" spans="1:14" ht="130.5">
      <c r="A213" s="7" t="s">
        <v>2311</v>
      </c>
      <c r="B213" s="8">
        <v>10</v>
      </c>
      <c r="C213" s="7" t="s">
        <v>1775</v>
      </c>
      <c r="D213" s="7" t="s">
        <v>2330</v>
      </c>
      <c r="E213" s="8">
        <v>48</v>
      </c>
      <c r="F213" s="8">
        <v>49</v>
      </c>
      <c r="G213" s="8">
        <v>2</v>
      </c>
      <c r="H213" s="7" t="s">
        <v>2005</v>
      </c>
      <c r="I213" s="9" t="s">
        <v>2331</v>
      </c>
      <c r="J213" s="7">
        <v>212</v>
      </c>
      <c r="K213" s="7" t="str">
        <f t="shared" si="0"/>
        <v>CCLF8.BENE_MDCR_STUS_CD</v>
      </c>
      <c r="L213" s="7" t="str">
        <f>_xlfn.XLOOKUP("*'"&amp;K213&amp;"'*",Data_Dictionary[cclfMapping],Data_Dictionary[Field Name],,2)</f>
        <v>Medicare Status Code</v>
      </c>
      <c r="M213" s="7" t="str">
        <f>_xlfn.XLOOKUP("*'"&amp;K213&amp;"'*",Data_Dictionary[cclfMapping],Data_Dictionary[Field Name],,2)</f>
        <v>Medicare Status Code</v>
      </c>
      <c r="N213" s="7" t="str">
        <f>_xlfn.XLOOKUP("*'"&amp;K213&amp;"'*",Data_Dictionary[cclfMapping],Data_Dictionary[fhirPath],,2)</f>
        <v>Coverage.extension.where(url='https://bluebutton.cms.gov/fhir/StructureDefinition/BENE-MDCR-STUS-CD').value.code</v>
      </c>
    </row>
    <row r="214" spans="1:14" ht="48">
      <c r="A214" s="7" t="s">
        <v>2311</v>
      </c>
      <c r="B214" s="8">
        <v>11</v>
      </c>
      <c r="C214" s="7" t="s">
        <v>1841</v>
      </c>
      <c r="D214" s="7" t="s">
        <v>1836</v>
      </c>
      <c r="E214" s="8">
        <v>50</v>
      </c>
      <c r="F214" s="8">
        <v>51</v>
      </c>
      <c r="G214" s="8">
        <v>2</v>
      </c>
      <c r="H214" s="7" t="s">
        <v>2005</v>
      </c>
      <c r="I214" s="11" t="s">
        <v>2332</v>
      </c>
      <c r="J214" s="7">
        <v>213</v>
      </c>
      <c r="K214" s="7" t="str">
        <f t="shared" si="0"/>
        <v>CCLF8.BENE_DUAL_STUS_CD</v>
      </c>
      <c r="L214" s="7" t="str">
        <f>_xlfn.XLOOKUP("*'"&amp;K214&amp;"'*",Data_Dictionary[cclfMapping],Data_Dictionary[Field Name],,2)</f>
        <v>Beneficiary Dual Status Code</v>
      </c>
      <c r="M214" s="7" t="str">
        <f>_xlfn.XLOOKUP("*'"&amp;K214&amp;"'*",Data_Dictionary[cclfMapping],Data_Dictionary[Field Name],,2)</f>
        <v>Beneficiary Dual Status Code</v>
      </c>
      <c r="N214" s="7" t="str">
        <f>_xlfn.XLOOKUP("*'"&amp;K214&amp;"'*",Data_Dictionary[cclfMapping],Data_Dictionary[fhirPath],,2)</f>
        <v>Coverage.extension.where(url='https://bluebutton.cms.gov/fhir/StructureDefinition/BENE-DUAL-STUS-CD').value.code</v>
      </c>
    </row>
    <row r="215" spans="1:14" ht="12.75">
      <c r="A215" s="7" t="s">
        <v>2311</v>
      </c>
      <c r="B215" s="8">
        <v>12</v>
      </c>
      <c r="C215" s="7" t="s">
        <v>1677</v>
      </c>
      <c r="D215" s="7" t="s">
        <v>2333</v>
      </c>
      <c r="E215" s="8">
        <v>52</v>
      </c>
      <c r="F215" s="8">
        <v>61</v>
      </c>
      <c r="G215" s="8">
        <v>10</v>
      </c>
      <c r="H215" s="7" t="s">
        <v>1989</v>
      </c>
      <c r="I215" s="9" t="s">
        <v>2334</v>
      </c>
      <c r="J215" s="7">
        <v>214</v>
      </c>
      <c r="K215" s="7" t="str">
        <f t="shared" si="0"/>
        <v>CCLF8.BENE_DEATH_DT</v>
      </c>
      <c r="L215" s="7" t="str">
        <f>_xlfn.XLOOKUP("*'"&amp;K215&amp;"'*",Data_Dictionary[cclfMapping],Data_Dictionary[Field Name],,2)</f>
        <v>Beneficiary Date of Death</v>
      </c>
      <c r="M215" s="7" t="str">
        <f>_xlfn.XLOOKUP("*'"&amp;K215&amp;"'*",Data_Dictionary[cclfMapping],Data_Dictionary[Field Name],,2)</f>
        <v>Beneficiary Date of Death</v>
      </c>
      <c r="N215" s="7" t="str">
        <f>_xlfn.XLOOKUP("*'"&amp;K215&amp;"'*",Data_Dictionary[cclfMapping],Data_Dictionary[fhirPath],,2)</f>
        <v>Patient.deceasedDateTime</v>
      </c>
    </row>
    <row r="216" spans="1:14" ht="24">
      <c r="A216" s="7" t="s">
        <v>2311</v>
      </c>
      <c r="B216" s="8">
        <v>13</v>
      </c>
      <c r="C216" s="7" t="s">
        <v>1800</v>
      </c>
      <c r="D216" s="7" t="s">
        <v>2335</v>
      </c>
      <c r="E216" s="8">
        <v>62</v>
      </c>
      <c r="F216" s="8">
        <v>71</v>
      </c>
      <c r="G216" s="8">
        <v>10</v>
      </c>
      <c r="H216" s="7" t="s">
        <v>1989</v>
      </c>
      <c r="I216" s="9" t="s">
        <v>2336</v>
      </c>
      <c r="J216" s="7">
        <v>215</v>
      </c>
      <c r="K216" s="7" t="str">
        <f t="shared" si="0"/>
        <v>CCLF8.BENE_RNG_BGN_DT</v>
      </c>
      <c r="L216" s="7" t="e">
        <f>_xlfn.XLOOKUP("*'"&amp;K216&amp;"'*",Data_Dictionary[cclfMapping],Data_Dictionary[Field Name],,2)</f>
        <v>#N/A</v>
      </c>
      <c r="M216" s="7" t="e">
        <f>_xlfn.XLOOKUP("*'"&amp;K216&amp;"'*",Data_Dictionary[cclfMapping],Data_Dictionary[Field Name],,2)</f>
        <v>#N/A</v>
      </c>
      <c r="N216" s="7" t="e">
        <f>_xlfn.XLOOKUP("*'"&amp;K216&amp;"'*",Data_Dictionary[cclfMapping],Data_Dictionary[fhirPath],,2)</f>
        <v>#N/A</v>
      </c>
    </row>
    <row r="217" spans="1:14" ht="24">
      <c r="A217" s="7" t="s">
        <v>2311</v>
      </c>
      <c r="B217" s="8">
        <v>14</v>
      </c>
      <c r="C217" s="7" t="s">
        <v>1806</v>
      </c>
      <c r="D217" s="7" t="s">
        <v>2337</v>
      </c>
      <c r="E217" s="8">
        <v>72</v>
      </c>
      <c r="F217" s="8">
        <v>81</v>
      </c>
      <c r="G217" s="8">
        <v>10</v>
      </c>
      <c r="H217" s="7" t="s">
        <v>1989</v>
      </c>
      <c r="I217" s="9" t="s">
        <v>2338</v>
      </c>
      <c r="J217" s="7">
        <v>216</v>
      </c>
      <c r="K217" s="7" t="str">
        <f t="shared" si="0"/>
        <v>CCLF8.BENE_RNG_END_DT</v>
      </c>
      <c r="L217" s="7" t="e">
        <f>_xlfn.XLOOKUP("*'"&amp;K217&amp;"'*",Data_Dictionary[cclfMapping],Data_Dictionary[Field Name],,2)</f>
        <v>#N/A</v>
      </c>
      <c r="M217" s="7" t="e">
        <f>_xlfn.XLOOKUP("*'"&amp;K217&amp;"'*",Data_Dictionary[cclfMapping],Data_Dictionary[Field Name],,2)</f>
        <v>#N/A</v>
      </c>
      <c r="N217" s="7" t="e">
        <f>_xlfn.XLOOKUP("*'"&amp;K217&amp;"'*",Data_Dictionary[cclfMapping],Data_Dictionary[fhirPath],,2)</f>
        <v>#N/A</v>
      </c>
    </row>
    <row r="218" spans="1:14" ht="12.75">
      <c r="A218" s="7" t="s">
        <v>2311</v>
      </c>
      <c r="B218" s="8">
        <v>15</v>
      </c>
      <c r="C218" s="7" t="s">
        <v>1649</v>
      </c>
      <c r="D218" s="7" t="s">
        <v>1643</v>
      </c>
      <c r="E218" s="8">
        <v>82</v>
      </c>
      <c r="F218" s="8">
        <v>111</v>
      </c>
      <c r="G218" s="8">
        <v>30</v>
      </c>
      <c r="H218" s="7" t="s">
        <v>2339</v>
      </c>
      <c r="I218" s="9" t="s">
        <v>2340</v>
      </c>
      <c r="J218" s="7">
        <v>217</v>
      </c>
      <c r="K218" s="7" t="str">
        <f t="shared" si="0"/>
        <v>CCLF8.BENE_1ST_NAME</v>
      </c>
      <c r="L218" s="7" t="str">
        <f>_xlfn.XLOOKUP("*'"&amp;K218&amp;"'*",Data_Dictionary[cclfMapping],Data_Dictionary[Field Name],,2)</f>
        <v>Beneficiary First Name</v>
      </c>
      <c r="M218" s="7" t="str">
        <f>_xlfn.XLOOKUP("*'"&amp;K218&amp;"'*",Data_Dictionary[cclfMapping],Data_Dictionary[Field Name],,2)</f>
        <v>Beneficiary First Name</v>
      </c>
      <c r="N218" s="7" t="str">
        <f>_xlfn.XLOOKUP("*'"&amp;K218&amp;"'*",Data_Dictionary[cclfMapping],Data_Dictionary[fhirPath],,2)</f>
        <v>Patient.name.given[0]</v>
      </c>
    </row>
    <row r="219" spans="1:14" ht="12.75">
      <c r="A219" s="7" t="s">
        <v>2311</v>
      </c>
      <c r="B219" s="8">
        <v>16</v>
      </c>
      <c r="C219" s="7" t="s">
        <v>1663</v>
      </c>
      <c r="D219" s="7" t="s">
        <v>1659</v>
      </c>
      <c r="E219" s="8">
        <v>112</v>
      </c>
      <c r="F219" s="8">
        <v>126</v>
      </c>
      <c r="G219" s="8">
        <v>15</v>
      </c>
      <c r="H219" s="7" t="s">
        <v>2181</v>
      </c>
      <c r="I219" s="9" t="s">
        <v>2341</v>
      </c>
      <c r="J219" s="7">
        <v>218</v>
      </c>
      <c r="K219" s="7" t="str">
        <f t="shared" si="0"/>
        <v>CCLF8.BENE_MIDL_NAME</v>
      </c>
      <c r="L219" s="7" t="str">
        <f>_xlfn.XLOOKUP("*'"&amp;K219&amp;"'*",Data_Dictionary[cclfMapping],Data_Dictionary[Field Name],,2)</f>
        <v>Beneficiary Middle Name</v>
      </c>
      <c r="M219" s="7" t="str">
        <f>_xlfn.XLOOKUP("*'"&amp;K219&amp;"'*",Data_Dictionary[cclfMapping],Data_Dictionary[Field Name],,2)</f>
        <v>Beneficiary Middle Name</v>
      </c>
      <c r="N219" s="7" t="str">
        <f>_xlfn.XLOOKUP("*'"&amp;K219&amp;"'*",Data_Dictionary[cclfMapping],Data_Dictionary[fhirPath],,2)</f>
        <v>Patient.name.given[1]</v>
      </c>
    </row>
    <row r="220" spans="1:14" ht="12.75">
      <c r="A220" s="7" t="s">
        <v>2311</v>
      </c>
      <c r="B220" s="8">
        <v>17</v>
      </c>
      <c r="C220" s="7" t="s">
        <v>1656</v>
      </c>
      <c r="D220" s="7" t="s">
        <v>1652</v>
      </c>
      <c r="E220" s="8">
        <v>127</v>
      </c>
      <c r="F220" s="8">
        <v>166</v>
      </c>
      <c r="G220" s="8">
        <v>40</v>
      </c>
      <c r="H220" s="7" t="s">
        <v>2197</v>
      </c>
      <c r="I220" s="9" t="s">
        <v>2342</v>
      </c>
      <c r="J220" s="7">
        <v>219</v>
      </c>
      <c r="K220" s="7" t="str">
        <f t="shared" si="0"/>
        <v>CCLF8.BENE_LAST_NAME</v>
      </c>
      <c r="L220" s="7" t="str">
        <f>_xlfn.XLOOKUP("*'"&amp;K220&amp;"'*",Data_Dictionary[cclfMapping],Data_Dictionary[Field Name],,2)</f>
        <v>Beneficiary Last Name</v>
      </c>
      <c r="M220" s="7" t="str">
        <f>_xlfn.XLOOKUP("*'"&amp;K220&amp;"'*",Data_Dictionary[cclfMapping],Data_Dictionary[Field Name],,2)</f>
        <v>Beneficiary Last Name</v>
      </c>
      <c r="N220" s="7" t="str">
        <f>_xlfn.XLOOKUP("*'"&amp;K220&amp;"'*",Data_Dictionary[cclfMapping],Data_Dictionary[fhirPath],,2)</f>
        <v>Patient.name.family</v>
      </c>
    </row>
    <row r="221" spans="1:14" ht="84">
      <c r="A221" s="7" t="s">
        <v>2311</v>
      </c>
      <c r="B221" s="8">
        <v>18</v>
      </c>
      <c r="C221" s="7" t="s">
        <v>2343</v>
      </c>
      <c r="D221" s="7" t="s">
        <v>2344</v>
      </c>
      <c r="E221" s="8">
        <v>167</v>
      </c>
      <c r="F221" s="8">
        <v>167</v>
      </c>
      <c r="G221" s="8">
        <v>1</v>
      </c>
      <c r="H221" s="7" t="s">
        <v>1993</v>
      </c>
      <c r="I221" s="9" t="s">
        <v>2345</v>
      </c>
      <c r="J221" s="7">
        <v>220</v>
      </c>
      <c r="K221" s="7" t="str">
        <f t="shared" si="0"/>
        <v>CCLF8.BENE_ORGNL_ENTLMT_RSN_CD</v>
      </c>
      <c r="L221" s="7" t="str">
        <f>_xlfn.XLOOKUP("*'"&amp;K221&amp;"'*",Data_Dictionary[cclfMapping],Data_Dictionary[Field Name],,2)</f>
        <v>Beneficiary Entitlement Reason Code</v>
      </c>
      <c r="M221" s="7" t="str">
        <f>_xlfn.XLOOKUP("*'"&amp;K221&amp;"'*",Data_Dictionary[cclfMapping],Data_Dictionary[Field Name],,2)</f>
        <v>Beneficiary Entitlement Reason Code</v>
      </c>
      <c r="N221" s="7" t="str">
        <f>_xlfn.XLOOKUP("*'"&amp;K221&amp;"'*",Data_Dictionary[cclfMapping],Data_Dictionary[fhirPath],,2)</f>
        <v>Coverage.extension.where(url='https://bluebutton.cms.gov/fhir/StructureDefinition/BENE-MDCR-ENTLMT-RSN-CD').value.code</v>
      </c>
    </row>
    <row r="222" spans="1:14" ht="154.5">
      <c r="A222" s="7" t="s">
        <v>2311</v>
      </c>
      <c r="B222" s="8">
        <v>19</v>
      </c>
      <c r="C222" s="7" t="s">
        <v>2346</v>
      </c>
      <c r="D222" s="7" t="s">
        <v>2347</v>
      </c>
      <c r="E222" s="8">
        <v>168</v>
      </c>
      <c r="F222" s="8">
        <v>168</v>
      </c>
      <c r="G222" s="8">
        <v>1</v>
      </c>
      <c r="H222" s="7" t="s">
        <v>1993</v>
      </c>
      <c r="I222" s="9" t="s">
        <v>2348</v>
      </c>
      <c r="J222" s="7">
        <v>221</v>
      </c>
      <c r="K222" s="7" t="str">
        <f t="shared" si="0"/>
        <v>CCLF8.BENE_ENTLMT_BUYIN_IND</v>
      </c>
      <c r="L222" s="7" t="str">
        <f>_xlfn.XLOOKUP("*'"&amp;K222&amp;"'*",Data_Dictionary[cclfMapping],Data_Dictionary[Field Name],,2)</f>
        <v>Buy-in Code</v>
      </c>
      <c r="M222" s="7" t="str">
        <f>_xlfn.XLOOKUP("*'"&amp;K222&amp;"'*",Data_Dictionary[cclfMapping],Data_Dictionary[Field Name],,2)</f>
        <v>Buy-in Code</v>
      </c>
      <c r="N222" s="7" t="str">
        <f>_xlfn.XLOOKUP("*'"&amp;K222&amp;"'*",Data_Dictionary[cclfMapping],Data_Dictionary[fhirPath],,2)</f>
        <v>Coverage.extension.where(url='https://bluebutton.cms.gov/fhir/StructureDefinition/BENE-BUYIN-CD').value.code</v>
      </c>
    </row>
    <row r="223" spans="1:14" ht="24">
      <c r="A223" s="7" t="s">
        <v>2311</v>
      </c>
      <c r="B223" s="8">
        <v>20</v>
      </c>
      <c r="C223" s="7" t="s">
        <v>2349</v>
      </c>
      <c r="D223" s="7" t="s">
        <v>2350</v>
      </c>
      <c r="E223" s="8">
        <v>169</v>
      </c>
      <c r="F223" s="8">
        <v>178</v>
      </c>
      <c r="G223" s="8">
        <v>10</v>
      </c>
      <c r="H223" s="7" t="s">
        <v>1989</v>
      </c>
      <c r="I223" s="7" t="s">
        <v>2351</v>
      </c>
      <c r="J223" s="7">
        <v>222</v>
      </c>
      <c r="K223" s="7" t="str">
        <f t="shared" si="0"/>
        <v>CCLF8.BENE_PART_A_ENRLMT_BGN_DT</v>
      </c>
      <c r="L223" s="7" t="str">
        <f>_xlfn.XLOOKUP("*'"&amp;K223&amp;"'*",Data_Dictionary[cclfMapping],Data_Dictionary[Field Name],,2)</f>
        <v>Beneficiary Range Begin Date</v>
      </c>
      <c r="M223" s="7" t="str">
        <f>_xlfn.XLOOKUP("*'"&amp;K223&amp;"'*",Data_Dictionary[cclfMapping],Data_Dictionary[Field Name],,2)</f>
        <v>Beneficiary Range Begin Date</v>
      </c>
      <c r="N223" s="7" t="str">
        <f>_xlfn.XLOOKUP("*'"&amp;K223&amp;"'*",Data_Dictionary[cclfMapping],Data_Dictionary[fhirPath],,2)</f>
        <v>Coverage.period.start</v>
      </c>
    </row>
    <row r="224" spans="1:14" ht="24">
      <c r="A224" s="7" t="s">
        <v>2311</v>
      </c>
      <c r="B224" s="8">
        <v>21</v>
      </c>
      <c r="C224" s="7" t="s">
        <v>2352</v>
      </c>
      <c r="D224" s="7" t="s">
        <v>2353</v>
      </c>
      <c r="E224" s="8">
        <v>179</v>
      </c>
      <c r="F224" s="8">
        <v>188</v>
      </c>
      <c r="G224" s="8">
        <v>10</v>
      </c>
      <c r="H224" s="7" t="s">
        <v>1989</v>
      </c>
      <c r="I224" s="7" t="s">
        <v>2354</v>
      </c>
      <c r="J224" s="7">
        <v>223</v>
      </c>
      <c r="K224" s="7" t="str">
        <f t="shared" si="0"/>
        <v>CCLF8.BENE_PART_B_ENRLMT_BGN_DT</v>
      </c>
      <c r="L224" s="7" t="str">
        <f>_xlfn.XLOOKUP("*'"&amp;K224&amp;"'*",Data_Dictionary[cclfMapping],Data_Dictionary[Field Name],,2)</f>
        <v>Beneficiary Range Begin Date</v>
      </c>
      <c r="M224" s="7" t="str">
        <f>_xlfn.XLOOKUP("*'"&amp;K224&amp;"'*",Data_Dictionary[cclfMapping],Data_Dictionary[Field Name],,2)</f>
        <v>Beneficiary Range Begin Date</v>
      </c>
      <c r="N224" s="7" t="str">
        <f>_xlfn.XLOOKUP("*'"&amp;K224&amp;"'*",Data_Dictionary[cclfMapping],Data_Dictionary[fhirPath],,2)</f>
        <v>Coverage.period.start</v>
      </c>
    </row>
    <row r="225" spans="1:14" ht="24">
      <c r="A225" s="7" t="s">
        <v>2311</v>
      </c>
      <c r="B225" s="8">
        <v>22</v>
      </c>
      <c r="C225" s="7" t="s">
        <v>2355</v>
      </c>
      <c r="D225" s="7" t="s">
        <v>2356</v>
      </c>
      <c r="E225" s="8">
        <v>189</v>
      </c>
      <c r="F225" s="8">
        <v>233</v>
      </c>
      <c r="G225" s="8">
        <v>45</v>
      </c>
      <c r="H225" s="7" t="s">
        <v>2357</v>
      </c>
      <c r="I225" s="9" t="s">
        <v>2358</v>
      </c>
      <c r="J225" s="7">
        <v>224</v>
      </c>
      <c r="K225" s="7" t="str">
        <f t="shared" si="0"/>
        <v>CCLF8.BENE_LINE_1_ADR</v>
      </c>
      <c r="L225" s="7" t="e">
        <f>_xlfn.XLOOKUP("*'"&amp;K225&amp;"'*",Data_Dictionary[cclfMapping],Data_Dictionary[Field Name],,2)</f>
        <v>#N/A</v>
      </c>
      <c r="M225" s="7" t="e">
        <f>_xlfn.XLOOKUP("*'"&amp;K225&amp;"'*",Data_Dictionary[cclfMapping],Data_Dictionary[Field Name],,2)</f>
        <v>#N/A</v>
      </c>
      <c r="N225" s="7" t="e">
        <f>_xlfn.XLOOKUP("*'"&amp;K225&amp;"'*",Data_Dictionary[cclfMapping],Data_Dictionary[fhirPath],,2)</f>
        <v>#N/A</v>
      </c>
    </row>
    <row r="226" spans="1:14" ht="24">
      <c r="A226" s="7" t="s">
        <v>2311</v>
      </c>
      <c r="B226" s="8">
        <v>23</v>
      </c>
      <c r="C226" s="7" t="s">
        <v>2359</v>
      </c>
      <c r="D226" s="7" t="s">
        <v>2360</v>
      </c>
      <c r="E226" s="8">
        <v>234</v>
      </c>
      <c r="F226" s="8">
        <v>278</v>
      </c>
      <c r="G226" s="8">
        <v>45</v>
      </c>
      <c r="H226" s="7" t="s">
        <v>2357</v>
      </c>
      <c r="I226" s="9" t="s">
        <v>2361</v>
      </c>
      <c r="J226" s="7">
        <v>225</v>
      </c>
      <c r="K226" s="7" t="str">
        <f t="shared" si="0"/>
        <v>CCLF8.BENE_LINE_2_ADR</v>
      </c>
      <c r="L226" s="7" t="e">
        <f>_xlfn.XLOOKUP("*'"&amp;K226&amp;"'*",Data_Dictionary[cclfMapping],Data_Dictionary[Field Name],,2)</f>
        <v>#N/A</v>
      </c>
      <c r="M226" s="7" t="e">
        <f>_xlfn.XLOOKUP("*'"&amp;K226&amp;"'*",Data_Dictionary[cclfMapping],Data_Dictionary[Field Name],,2)</f>
        <v>#N/A</v>
      </c>
      <c r="N226" s="7" t="e">
        <f>_xlfn.XLOOKUP("*'"&amp;K226&amp;"'*",Data_Dictionary[cclfMapping],Data_Dictionary[fhirPath],,2)</f>
        <v>#N/A</v>
      </c>
    </row>
    <row r="227" spans="1:14" ht="24">
      <c r="A227" s="7" t="s">
        <v>2311</v>
      </c>
      <c r="B227" s="8">
        <v>24</v>
      </c>
      <c r="C227" s="7" t="s">
        <v>2362</v>
      </c>
      <c r="D227" s="7" t="s">
        <v>2363</v>
      </c>
      <c r="E227" s="8">
        <v>279</v>
      </c>
      <c r="F227" s="8">
        <v>318</v>
      </c>
      <c r="G227" s="8">
        <v>40</v>
      </c>
      <c r="H227" s="7" t="s">
        <v>2197</v>
      </c>
      <c r="I227" s="9" t="s">
        <v>2364</v>
      </c>
      <c r="J227" s="7">
        <v>226</v>
      </c>
      <c r="K227" s="7" t="str">
        <f t="shared" si="0"/>
        <v>CCLF8.BENE_LINE_3_ADR</v>
      </c>
      <c r="L227" s="7" t="e">
        <f>_xlfn.XLOOKUP("*'"&amp;K227&amp;"'*",Data_Dictionary[cclfMapping],Data_Dictionary[Field Name],,2)</f>
        <v>#N/A</v>
      </c>
      <c r="M227" s="7" t="e">
        <f>_xlfn.XLOOKUP("*'"&amp;K227&amp;"'*",Data_Dictionary[cclfMapping],Data_Dictionary[Field Name],,2)</f>
        <v>#N/A</v>
      </c>
      <c r="N227" s="7" t="e">
        <f>_xlfn.XLOOKUP("*'"&amp;K227&amp;"'*",Data_Dictionary[cclfMapping],Data_Dictionary[fhirPath],,2)</f>
        <v>#N/A</v>
      </c>
    </row>
    <row r="228" spans="1:14" ht="24">
      <c r="A228" s="7" t="s">
        <v>2311</v>
      </c>
      <c r="B228" s="8">
        <v>25</v>
      </c>
      <c r="C228" s="7" t="s">
        <v>2365</v>
      </c>
      <c r="D228" s="7" t="s">
        <v>2366</v>
      </c>
      <c r="E228" s="8">
        <v>319</v>
      </c>
      <c r="F228" s="8">
        <v>358</v>
      </c>
      <c r="G228" s="8">
        <v>40</v>
      </c>
      <c r="H228" s="7" t="s">
        <v>2197</v>
      </c>
      <c r="I228" s="9" t="s">
        <v>2367</v>
      </c>
      <c r="J228" s="7">
        <v>227</v>
      </c>
      <c r="K228" s="7" t="str">
        <f t="shared" si="0"/>
        <v>CCLF8.BENE_LINE_4_ADR</v>
      </c>
      <c r="L228" s="7" t="e">
        <f>_xlfn.XLOOKUP("*'"&amp;K228&amp;"'*",Data_Dictionary[cclfMapping],Data_Dictionary[Field Name],,2)</f>
        <v>#N/A</v>
      </c>
      <c r="M228" s="7" t="e">
        <f>_xlfn.XLOOKUP("*'"&amp;K228&amp;"'*",Data_Dictionary[cclfMapping],Data_Dictionary[Field Name],,2)</f>
        <v>#N/A</v>
      </c>
      <c r="N228" s="7" t="e">
        <f>_xlfn.XLOOKUP("*'"&amp;K228&amp;"'*",Data_Dictionary[cclfMapping],Data_Dictionary[fhirPath],,2)</f>
        <v>#N/A</v>
      </c>
    </row>
    <row r="229" spans="1:14" ht="24">
      <c r="A229" s="7" t="s">
        <v>2311</v>
      </c>
      <c r="B229" s="8">
        <v>26</v>
      </c>
      <c r="C229" s="7" t="s">
        <v>2368</v>
      </c>
      <c r="D229" s="7" t="s">
        <v>2369</v>
      </c>
      <c r="E229" s="8">
        <v>359</v>
      </c>
      <c r="F229" s="8">
        <v>398</v>
      </c>
      <c r="G229" s="8">
        <v>40</v>
      </c>
      <c r="H229" s="7" t="s">
        <v>2197</v>
      </c>
      <c r="I229" s="9" t="s">
        <v>2370</v>
      </c>
      <c r="J229" s="7">
        <v>228</v>
      </c>
      <c r="K229" s="7" t="str">
        <f t="shared" si="0"/>
        <v>CCLF8.BENE_LINE_5_ADR</v>
      </c>
      <c r="L229" s="7" t="e">
        <f>_xlfn.XLOOKUP("*'"&amp;K229&amp;"'*",Data_Dictionary[cclfMapping],Data_Dictionary[Field Name],,2)</f>
        <v>#N/A</v>
      </c>
      <c r="M229" s="7" t="e">
        <f>_xlfn.XLOOKUP("*'"&amp;K229&amp;"'*",Data_Dictionary[cclfMapping],Data_Dictionary[Field Name],,2)</f>
        <v>#N/A</v>
      </c>
      <c r="N229" s="7" t="e">
        <f>_xlfn.XLOOKUP("*'"&amp;K229&amp;"'*",Data_Dictionary[cclfMapping],Data_Dictionary[fhirPath],,2)</f>
        <v>#N/A</v>
      </c>
    </row>
    <row r="230" spans="1:14" ht="24">
      <c r="A230" s="7" t="s">
        <v>2311</v>
      </c>
      <c r="B230" s="8">
        <v>27</v>
      </c>
      <c r="C230" s="7" t="s">
        <v>2371</v>
      </c>
      <c r="D230" s="7" t="s">
        <v>2372</v>
      </c>
      <c r="E230" s="8">
        <v>399</v>
      </c>
      <c r="F230" s="8">
        <v>438</v>
      </c>
      <c r="G230" s="8">
        <v>40</v>
      </c>
      <c r="H230" s="7" t="s">
        <v>2197</v>
      </c>
      <c r="I230" s="9" t="s">
        <v>2373</v>
      </c>
      <c r="J230" s="7">
        <v>229</v>
      </c>
      <c r="K230" s="7" t="str">
        <f t="shared" si="0"/>
        <v>CCLF8.BENE_LINE_6_ADR</v>
      </c>
      <c r="L230" s="7" t="e">
        <f>_xlfn.XLOOKUP("*'"&amp;K230&amp;"'*",Data_Dictionary[cclfMapping],Data_Dictionary[Field Name],,2)</f>
        <v>#N/A</v>
      </c>
      <c r="M230" s="7" t="e">
        <f>_xlfn.XLOOKUP("*'"&amp;K230&amp;"'*",Data_Dictionary[cclfMapping],Data_Dictionary[Field Name],,2)</f>
        <v>#N/A</v>
      </c>
      <c r="N230" s="7" t="e">
        <f>_xlfn.XLOOKUP("*'"&amp;K230&amp;"'*",Data_Dictionary[cclfMapping],Data_Dictionary[fhirPath],,2)</f>
        <v>#N/A</v>
      </c>
    </row>
    <row r="231" spans="1:14" ht="24">
      <c r="A231" s="7" t="s">
        <v>2311</v>
      </c>
      <c r="B231" s="8">
        <v>28</v>
      </c>
      <c r="C231" s="7" t="s">
        <v>1712</v>
      </c>
      <c r="D231" s="7" t="s">
        <v>2374</v>
      </c>
      <c r="E231" s="8">
        <v>439</v>
      </c>
      <c r="F231" s="8">
        <v>538</v>
      </c>
      <c r="G231" s="8">
        <v>100</v>
      </c>
      <c r="H231" s="7" t="s">
        <v>2375</v>
      </c>
      <c r="I231" s="9" t="s">
        <v>2376</v>
      </c>
      <c r="J231" s="7">
        <v>230</v>
      </c>
      <c r="K231" s="7" t="str">
        <f t="shared" si="0"/>
        <v>CCLF8.GEO_ZIP_PLC_NAME</v>
      </c>
      <c r="L231" s="7" t="str">
        <f>_xlfn.XLOOKUP("*'"&amp;K231&amp;"'*",Data_Dictionary[cclfMapping],Data_Dictionary[Field Name],,2)</f>
        <v>City Name</v>
      </c>
      <c r="M231" s="7" t="str">
        <f>_xlfn.XLOOKUP("*'"&amp;K231&amp;"'*",Data_Dictionary[cclfMapping],Data_Dictionary[Field Name],,2)</f>
        <v>City Name</v>
      </c>
      <c r="N231" s="7" t="str">
        <f>_xlfn.XLOOKUP("*'"&amp;K231&amp;"'*",Data_Dictionary[cclfMapping],Data_Dictionary[fhirPath],,2)</f>
        <v>Patient.address.city</v>
      </c>
    </row>
    <row r="232" spans="1:14" ht="24">
      <c r="A232" s="7" t="s">
        <v>2311</v>
      </c>
      <c r="B232" s="8">
        <v>29</v>
      </c>
      <c r="C232" s="7" t="s">
        <v>1698</v>
      </c>
      <c r="D232" s="7" t="s">
        <v>2377</v>
      </c>
      <c r="E232" s="8">
        <v>539</v>
      </c>
      <c r="F232" s="8">
        <v>540</v>
      </c>
      <c r="G232" s="8">
        <v>2</v>
      </c>
      <c r="H232" s="7" t="s">
        <v>2040</v>
      </c>
      <c r="I232" s="9" t="s">
        <v>2378</v>
      </c>
      <c r="J232" s="7">
        <v>231</v>
      </c>
      <c r="K232" s="7" t="str">
        <f t="shared" si="0"/>
        <v>CCLF8.GEO_USPS_STATE_CD</v>
      </c>
      <c r="L232" s="7" t="str">
        <f>_xlfn.XLOOKUP("*'"&amp;K232&amp;"'*",Data_Dictionary[cclfMapping],Data_Dictionary[Field Name],,2)</f>
        <v>USPS State Code</v>
      </c>
      <c r="M232" s="7" t="str">
        <f>_xlfn.XLOOKUP("*'"&amp;K232&amp;"'*",Data_Dictionary[cclfMapping],Data_Dictionary[Field Name],,2)</f>
        <v>USPS State Code</v>
      </c>
      <c r="N232" s="7" t="str">
        <f>_xlfn.XLOOKUP("*'"&amp;K232&amp;"'*",Data_Dictionary[cclfMapping],Data_Dictionary[fhirPath],,2)</f>
        <v>Patient.address.state</v>
      </c>
    </row>
    <row r="233" spans="1:14" ht="24">
      <c r="A233" s="7" t="s">
        <v>2311</v>
      </c>
      <c r="B233" s="8">
        <v>30</v>
      </c>
      <c r="C233" s="7" t="s">
        <v>1705</v>
      </c>
      <c r="D233" s="7" t="s">
        <v>2379</v>
      </c>
      <c r="E233" s="8">
        <v>541</v>
      </c>
      <c r="F233" s="8">
        <v>545</v>
      </c>
      <c r="G233" s="8">
        <v>5</v>
      </c>
      <c r="H233" s="7" t="s">
        <v>2129</v>
      </c>
      <c r="I233" s="9" t="s">
        <v>2380</v>
      </c>
      <c r="J233" s="7">
        <v>232</v>
      </c>
      <c r="K233" s="7" t="str">
        <f t="shared" si="0"/>
        <v>CCLF8.GEO_ZIP5_CD</v>
      </c>
      <c r="L233" s="7" t="str">
        <f>_xlfn.XLOOKUP("*'"&amp;K233&amp;"'*",Data_Dictionary[cclfMapping],Data_Dictionary[Field Name],,2)</f>
        <v>Beneficiary Zip Code - First 5</v>
      </c>
      <c r="M233" s="7" t="str">
        <f>_xlfn.XLOOKUP("*'"&amp;K233&amp;"'*",Data_Dictionary[cclfMapping],Data_Dictionary[Field Name],,2)</f>
        <v>Beneficiary Zip Code - First 5</v>
      </c>
      <c r="N233" s="7" t="str">
        <f>_xlfn.XLOOKUP("*'"&amp;K233&amp;"'*",Data_Dictionary[cclfMapping],Data_Dictionary[fhirPath],,2)</f>
        <v>Patient.address.postalCode</v>
      </c>
    </row>
    <row r="234" spans="1:14" ht="24">
      <c r="A234" s="7" t="s">
        <v>2311</v>
      </c>
      <c r="B234" s="8">
        <v>31</v>
      </c>
      <c r="C234" s="7" t="s">
        <v>2381</v>
      </c>
      <c r="D234" s="7" t="s">
        <v>2382</v>
      </c>
      <c r="E234" s="8">
        <v>546</v>
      </c>
      <c r="F234" s="8">
        <v>549</v>
      </c>
      <c r="G234" s="8">
        <v>4</v>
      </c>
      <c r="H234" s="7" t="s">
        <v>2383</v>
      </c>
      <c r="I234" s="9" t="s">
        <v>2384</v>
      </c>
      <c r="J234" s="7">
        <v>233</v>
      </c>
      <c r="K234" s="7" t="str">
        <f t="shared" si="0"/>
        <v>CCLF8.GEO_ZIP4_CD</v>
      </c>
      <c r="L234" s="7" t="e">
        <f>_xlfn.XLOOKUP("*'"&amp;K234&amp;"'*",Data_Dictionary[cclfMapping],Data_Dictionary[Field Name],,2)</f>
        <v>#N/A</v>
      </c>
      <c r="M234" s="7" t="e">
        <f>_xlfn.XLOOKUP("*'"&amp;K234&amp;"'*",Data_Dictionary[cclfMapping],Data_Dictionary[Field Name],,2)</f>
        <v>#N/A</v>
      </c>
      <c r="N234" s="7" t="e">
        <f>_xlfn.XLOOKUP("*'"&amp;K234&amp;"'*",Data_Dictionary[cclfMapping],Data_Dictionary[fhirPath],,2)</f>
        <v>#N/A</v>
      </c>
    </row>
    <row r="235" spans="1:14" ht="84">
      <c r="A235" s="7" t="s">
        <v>2385</v>
      </c>
      <c r="B235" s="8">
        <v>1</v>
      </c>
      <c r="C235" s="7" t="s">
        <v>2386</v>
      </c>
      <c r="D235" s="9" t="s">
        <v>2387</v>
      </c>
      <c r="E235" s="8">
        <v>1</v>
      </c>
      <c r="F235" s="8">
        <v>1</v>
      </c>
      <c r="G235" s="8">
        <v>1</v>
      </c>
      <c r="H235" s="7" t="s">
        <v>1964</v>
      </c>
      <c r="I235" s="9" t="s">
        <v>2388</v>
      </c>
      <c r="J235" s="7">
        <v>234</v>
      </c>
      <c r="K235" s="7" t="str">
        <f t="shared" si="0"/>
        <v>CCLF9.HICN_MBI_XREF_IND…</v>
      </c>
      <c r="L235" s="7" t="e">
        <f>_xlfn.XLOOKUP("*'"&amp;K235&amp;"'*",Data_Dictionary[cclfMapping],Data_Dictionary[Field Name],,2)</f>
        <v>#N/A</v>
      </c>
      <c r="M235" s="7" t="e">
        <f>_xlfn.XLOOKUP("*'"&amp;K235&amp;"'*",Data_Dictionary[cclfMapping],Data_Dictionary[Field Name],,2)</f>
        <v>#N/A</v>
      </c>
      <c r="N235" s="7" t="e">
        <f>_xlfn.XLOOKUP("*'"&amp;K235&amp;"'*",Data_Dictionary[cclfMapping],Data_Dictionary[fhirPath],,2)</f>
        <v>#N/A</v>
      </c>
    </row>
    <row r="236" spans="1:14" ht="84">
      <c r="A236" s="7" t="s">
        <v>2385</v>
      </c>
      <c r="B236" s="8">
        <v>2</v>
      </c>
      <c r="C236" s="7" t="s">
        <v>2389</v>
      </c>
      <c r="D236" s="7" t="s">
        <v>2390</v>
      </c>
      <c r="E236" s="8">
        <v>2</v>
      </c>
      <c r="F236" s="8">
        <v>12</v>
      </c>
      <c r="G236" s="8">
        <v>11</v>
      </c>
      <c r="H236" s="7" t="s">
        <v>1982</v>
      </c>
      <c r="I236" s="9" t="s">
        <v>2391</v>
      </c>
      <c r="J236" s="7">
        <v>235</v>
      </c>
      <c r="K236" s="7" t="str">
        <f t="shared" si="0"/>
        <v>CCLF9.CRNT_NUM</v>
      </c>
      <c r="L236" s="7" t="str">
        <f>_xlfn.XLOOKUP("*'"&amp;K236&amp;"'*",Data_Dictionary[cclfMapping],Data_Dictionary[Field Name],,2)</f>
        <v>Medicare Beneficiary Identifier</v>
      </c>
      <c r="M236" s="7" t="str">
        <f>_xlfn.XLOOKUP("*'"&amp;K236&amp;"'*",Data_Dictionary[cclfMapping],Data_Dictionary[Field Name],,2)</f>
        <v>Medicare Beneficiary Identifier</v>
      </c>
      <c r="N236" s="7" t="str">
        <f>_xlfn.XLOOKUP("*'"&amp;K236&amp;"'*",Data_Dictionary[cclfMapping],Data_Dictionary[fhirPath],,2)</f>
        <v>Patient.identifier.where(system='http://hl7.org/fhir/sid/us-mbi').value</v>
      </c>
    </row>
    <row r="237" spans="1:14" ht="84">
      <c r="A237" s="7" t="s">
        <v>2385</v>
      </c>
      <c r="B237" s="8">
        <v>3</v>
      </c>
      <c r="C237" s="7" t="s">
        <v>2392</v>
      </c>
      <c r="D237" s="7" t="s">
        <v>2393</v>
      </c>
      <c r="E237" s="8">
        <v>13</v>
      </c>
      <c r="F237" s="8">
        <v>23</v>
      </c>
      <c r="G237" s="8">
        <v>11</v>
      </c>
      <c r="H237" s="7" t="s">
        <v>1982</v>
      </c>
      <c r="I237" s="9" t="s">
        <v>2394</v>
      </c>
      <c r="J237" s="7">
        <v>236</v>
      </c>
      <c r="K237" s="7" t="str">
        <f t="shared" si="0"/>
        <v>CCLF9.PRVS_NUM</v>
      </c>
      <c r="L237" s="7" t="str">
        <f>_xlfn.XLOOKUP("*'"&amp;K237&amp;"'*",Data_Dictionary[cclfMapping],Data_Dictionary[Field Name],,2)</f>
        <v>Medicare Beneficiary Identifier</v>
      </c>
      <c r="M237" s="7" t="str">
        <f>_xlfn.XLOOKUP("*'"&amp;K237&amp;"'*",Data_Dictionary[cclfMapping],Data_Dictionary[Field Name],,2)</f>
        <v>Medicare Beneficiary Identifier</v>
      </c>
      <c r="N237" s="7" t="str">
        <f>_xlfn.XLOOKUP("*'"&amp;K237&amp;"'*",Data_Dictionary[cclfMapping],Data_Dictionary[fhirPath],,2)</f>
        <v>Patient.identifier.where(system='http://hl7.org/fhir/sid/us-mbi').value</v>
      </c>
    </row>
    <row r="238" spans="1:14" ht="24">
      <c r="A238" s="7" t="s">
        <v>2385</v>
      </c>
      <c r="B238" s="8">
        <v>4</v>
      </c>
      <c r="C238" s="7" t="s">
        <v>2395</v>
      </c>
      <c r="D238" s="7" t="s">
        <v>2396</v>
      </c>
      <c r="E238" s="8">
        <v>24</v>
      </c>
      <c r="F238" s="8">
        <v>33</v>
      </c>
      <c r="G238" s="8">
        <v>10</v>
      </c>
      <c r="H238" s="7" t="s">
        <v>1989</v>
      </c>
      <c r="I238" s="7" t="s">
        <v>2397</v>
      </c>
      <c r="J238" s="7">
        <v>237</v>
      </c>
      <c r="K238" s="7" t="str">
        <f t="shared" si="0"/>
        <v>CCLF9.PRVS_ID_EFCTV_DT</v>
      </c>
      <c r="L238" s="7" t="str">
        <f>_xlfn.XLOOKUP("*'"&amp;K238&amp;"'*",Data_Dictionary[cclfMapping],Data_Dictionary[Field Name],,2)</f>
        <v>MBI Effective Date</v>
      </c>
      <c r="M238" s="7" t="str">
        <f>_xlfn.XLOOKUP("*'"&amp;K238&amp;"'*",Data_Dictionary[cclfMapping],Data_Dictionary[Field Name],,2)</f>
        <v>MBI Effective Date</v>
      </c>
      <c r="N238" s="7" t="str">
        <f>_xlfn.XLOOKUP("*'"&amp;K238&amp;"'*",Data_Dictionary[cclfMapping],Data_Dictionary[fhirPath],,2)</f>
        <v>Patient.identifier.where(system='http://hl7.org/fhir/sid/us-mbi').period.start</v>
      </c>
    </row>
    <row r="239" spans="1:14" ht="24">
      <c r="A239" s="7" t="s">
        <v>2385</v>
      </c>
      <c r="B239" s="8">
        <v>5</v>
      </c>
      <c r="C239" s="7" t="s">
        <v>2398</v>
      </c>
      <c r="D239" s="7" t="s">
        <v>2399</v>
      </c>
      <c r="E239" s="8">
        <v>34</v>
      </c>
      <c r="F239" s="8">
        <v>43</v>
      </c>
      <c r="G239" s="8">
        <v>10</v>
      </c>
      <c r="H239" s="7" t="s">
        <v>1989</v>
      </c>
      <c r="I239" s="7" t="s">
        <v>2400</v>
      </c>
      <c r="J239" s="7">
        <v>238</v>
      </c>
      <c r="K239" s="7" t="str">
        <f t="shared" si="0"/>
        <v>CCLF9.PRVS_ID_OBSLT_DT</v>
      </c>
      <c r="L239" s="7" t="str">
        <f>_xlfn.XLOOKUP("*'"&amp;K239&amp;"'*",Data_Dictionary[cclfMapping],Data_Dictionary[Field Name],,2)</f>
        <v>MBI Obsolete Date</v>
      </c>
      <c r="M239" s="7" t="str">
        <f>_xlfn.XLOOKUP("*'"&amp;K239&amp;"'*",Data_Dictionary[cclfMapping],Data_Dictionary[Field Name],,2)</f>
        <v>MBI Obsolete Date</v>
      </c>
      <c r="N239" s="7" t="str">
        <f>_xlfn.XLOOKUP("*'"&amp;K239&amp;"'*",Data_Dictionary[cclfMapping],Data_Dictionary[fhirPath],,2)</f>
        <v>Patient.identifier.where(system='http://hl7.org/fhir/sid/us-mbi').period.end</v>
      </c>
    </row>
    <row r="240" spans="1:14" ht="84">
      <c r="A240" s="7" t="s">
        <v>2385</v>
      </c>
      <c r="B240" s="8">
        <v>6</v>
      </c>
      <c r="C240" s="7" t="s">
        <v>2401</v>
      </c>
      <c r="D240" s="7" t="s">
        <v>2402</v>
      </c>
      <c r="E240" s="8">
        <v>44</v>
      </c>
      <c r="F240" s="8">
        <v>55</v>
      </c>
      <c r="G240" s="8">
        <v>12</v>
      </c>
      <c r="H240" s="7" t="s">
        <v>2403</v>
      </c>
      <c r="I240" s="9" t="s">
        <v>2404</v>
      </c>
      <c r="J240" s="7">
        <v>239</v>
      </c>
      <c r="K240" s="7" t="str">
        <f t="shared" si="0"/>
        <v>CCLF9.BENE_RRB_NUM</v>
      </c>
      <c r="L240" s="7" t="e">
        <f>_xlfn.XLOOKUP("*'"&amp;K240&amp;"'*",Data_Dictionary[cclfMapping],Data_Dictionary[Field Name],,2)</f>
        <v>#N/A</v>
      </c>
      <c r="M240" s="7" t="e">
        <f>_xlfn.XLOOKUP("*'"&amp;K240&amp;"'*",Data_Dictionary[cclfMapping],Data_Dictionary[Field Name],,2)</f>
        <v>#N/A</v>
      </c>
      <c r="N240" s="7" t="e">
        <f>_xlfn.XLOOKUP("*'"&amp;K240&amp;"'*",Data_Dictionary[cclfMapping],Data_Dictionary[fhirPath],,2)</f>
        <v>#N/A</v>
      </c>
    </row>
    <row r="241" spans="1:14" ht="36">
      <c r="A241" s="7" t="s">
        <v>2405</v>
      </c>
      <c r="B241" s="8">
        <v>1</v>
      </c>
      <c r="C241" s="7" t="s">
        <v>1974</v>
      </c>
      <c r="D241" s="7" t="s">
        <v>1975</v>
      </c>
      <c r="E241" s="8">
        <v>1</v>
      </c>
      <c r="F241" s="8">
        <v>13</v>
      </c>
      <c r="G241" s="8">
        <v>13</v>
      </c>
      <c r="H241" s="7" t="s">
        <v>1976</v>
      </c>
      <c r="I241" s="9" t="s">
        <v>1977</v>
      </c>
      <c r="J241" s="7">
        <v>240</v>
      </c>
      <c r="K241" s="7" t="str">
        <f t="shared" si="0"/>
        <v>CCLFA.CUR_CLM_UNIQ_ID</v>
      </c>
      <c r="L241" s="7" t="str">
        <f>_xlfn.XLOOKUP("*'"&amp;K241&amp;"'*",Data_Dictionary[cclfMapping],Data_Dictionary[Field Name],,2)</f>
        <v>The claim unique ID is a unique ID for the claim within the source system.</v>
      </c>
      <c r="M241" s="7" t="str">
        <f>_xlfn.XLOOKUP("*'"&amp;K241&amp;"'*",Data_Dictionary[cclfMapping],Data_Dictionary[Field Name],,2)</f>
        <v>The claim unique ID is a unique ID for the claim within the source system.</v>
      </c>
      <c r="N241" s="7" t="str">
        <f>_xlfn.XLOOKUP("*'"&amp;K241&amp;"'*",Data_Dictionary[cclfMapping],Data_Dictionary[fhirPath],,2)</f>
        <v>ExplanationOfBenefit.identifier.where(type.coding.system = 'http://hl7.org/fhir/us/carin-bb/CodeSystem/C4BBIdentifierType' and type.coding.code = 'uc' ).value</v>
      </c>
    </row>
    <row r="242" spans="1:14" ht="24">
      <c r="A242" s="7" t="s">
        <v>2405</v>
      </c>
      <c r="B242" s="8">
        <v>2</v>
      </c>
      <c r="C242" s="7" t="s">
        <v>1739</v>
      </c>
      <c r="D242" s="7" t="s">
        <v>1734</v>
      </c>
      <c r="E242" s="8">
        <v>14</v>
      </c>
      <c r="F242" s="8">
        <v>24</v>
      </c>
      <c r="G242" s="8">
        <v>11</v>
      </c>
      <c r="H242" s="7" t="s">
        <v>1982</v>
      </c>
      <c r="I242" s="9" t="s">
        <v>2095</v>
      </c>
      <c r="J242" s="7">
        <v>241</v>
      </c>
      <c r="K242" s="7" t="str">
        <f t="shared" si="0"/>
        <v>CCLFA.BENE_MBI_ID</v>
      </c>
      <c r="L242" s="7" t="str">
        <f>_xlfn.XLOOKUP("*'"&amp;K242&amp;"'*",Data_Dictionary[cclfMapping],Data_Dictionary[Field Name],,2)</f>
        <v>Medicare Beneficiary Identifier</v>
      </c>
      <c r="M242" s="7" t="str">
        <f>_xlfn.XLOOKUP("*'"&amp;K242&amp;"'*",Data_Dictionary[cclfMapping],Data_Dictionary[Field Name],,2)</f>
        <v>Medicare Beneficiary Identifier</v>
      </c>
      <c r="N242" s="7" t="str">
        <f>_xlfn.XLOOKUP("*'"&amp;K242&amp;"'*",Data_Dictionary[cclfMapping],Data_Dictionary[fhirPath],,2)</f>
        <v>Patient.identifier.where(system='http://hl7.org/fhir/sid/us-mbi').value</v>
      </c>
    </row>
    <row r="243" spans="1:14" ht="84">
      <c r="A243" s="7" t="s">
        <v>2405</v>
      </c>
      <c r="B243" s="8">
        <v>3</v>
      </c>
      <c r="C243" s="7" t="s">
        <v>1984</v>
      </c>
      <c r="D243" s="7" t="s">
        <v>1985</v>
      </c>
      <c r="E243" s="8">
        <v>25</v>
      </c>
      <c r="F243" s="8">
        <v>35</v>
      </c>
      <c r="G243" s="8">
        <v>11</v>
      </c>
      <c r="H243" s="7" t="s">
        <v>1982</v>
      </c>
      <c r="I243" s="9" t="s">
        <v>2135</v>
      </c>
      <c r="J243" s="7">
        <v>242</v>
      </c>
      <c r="K243" s="7" t="str">
        <f t="shared" si="0"/>
        <v>CCLFA.BENE_HIC_NUM</v>
      </c>
      <c r="L243" s="7" t="e">
        <f>_xlfn.XLOOKUP("*'"&amp;K243&amp;"'*",Data_Dictionary[cclfMapping],Data_Dictionary[Field Name],,2)</f>
        <v>#N/A</v>
      </c>
      <c r="M243" s="7" t="e">
        <f>_xlfn.XLOOKUP("*'"&amp;K243&amp;"'*",Data_Dictionary[cclfMapping],Data_Dictionary[Field Name],,2)</f>
        <v>#N/A</v>
      </c>
      <c r="N243" s="7" t="e">
        <f>_xlfn.XLOOKUP("*'"&amp;K243&amp;"'*",Data_Dictionary[cclfMapping],Data_Dictionary[fhirPath],,2)</f>
        <v>#N/A</v>
      </c>
    </row>
    <row r="244" spans="1:14" ht="118.5">
      <c r="A244" s="7" t="s">
        <v>2405</v>
      </c>
      <c r="B244" s="8">
        <v>4</v>
      </c>
      <c r="C244" s="7" t="s">
        <v>77</v>
      </c>
      <c r="D244" s="7" t="s">
        <v>73</v>
      </c>
      <c r="E244" s="8">
        <v>36</v>
      </c>
      <c r="F244" s="8">
        <v>37</v>
      </c>
      <c r="G244" s="8">
        <v>2</v>
      </c>
      <c r="H244" s="7" t="s">
        <v>1987</v>
      </c>
      <c r="I244" s="9" t="s">
        <v>2148</v>
      </c>
      <c r="J244" s="7">
        <v>243</v>
      </c>
      <c r="K244" s="7" t="str">
        <f t="shared" si="0"/>
        <v>CCLFA.CLM_TYPE_CD</v>
      </c>
      <c r="L244" s="7" t="str">
        <f>_xlfn.XLOOKUP("*'"&amp;K244&amp;"'*",Data_Dictionary[cclfMapping],Data_Dictionary[Field Name],,2)</f>
        <v>Claim Type Code</v>
      </c>
      <c r="M244" s="7" t="str">
        <f>_xlfn.XLOOKUP("*'"&amp;K244&amp;"'*",Data_Dictionary[cclfMapping],Data_Dictionary[Field Name],,2)</f>
        <v>Claim Type Code</v>
      </c>
      <c r="N244" s="7" t="str">
        <f>_xlfn.XLOOKUP("*'"&amp;K244&amp;"'*",Data_Dictionary[cclfMapping],Data_Dictionary[fhirPath],,2)</f>
        <v>ExplanationOfBenefit.type.coding.where(system = 'https://bluebutton.cms.gov/fhir/CodeSystem/CLM-TYPE-CD').code</v>
      </c>
    </row>
    <row r="245" spans="1:14" ht="36">
      <c r="A245" s="7" t="s">
        <v>2405</v>
      </c>
      <c r="B245" s="8">
        <v>5</v>
      </c>
      <c r="C245" s="7" t="s">
        <v>749</v>
      </c>
      <c r="D245" s="7" t="s">
        <v>2406</v>
      </c>
      <c r="E245" s="8">
        <v>38</v>
      </c>
      <c r="F245" s="8">
        <v>47</v>
      </c>
      <c r="G245" s="8">
        <v>10</v>
      </c>
      <c r="H245" s="7" t="s">
        <v>1989</v>
      </c>
      <c r="I245" s="9" t="s">
        <v>2407</v>
      </c>
      <c r="J245" s="7">
        <v>244</v>
      </c>
      <c r="K245" s="7" t="str">
        <f t="shared" si="0"/>
        <v>CCLFA.CLM_ACTV_CARE_FROM_DT</v>
      </c>
      <c r="L245" s="7" t="str">
        <f>_xlfn.XLOOKUP("*'"&amp;K245&amp;"'*",Data_Dictionary[cclfMapping],Data_Dictionary[Field Name],,2)</f>
        <v>Claim Active Care From Date</v>
      </c>
      <c r="M245" s="7" t="str">
        <f>_xlfn.XLOOKUP("*'"&amp;K245&amp;"'*",Data_Dictionary[cclfMapping],Data_Dictionary[Field Name],,2)</f>
        <v>Claim Active Care From Date</v>
      </c>
      <c r="N245" s="7" t="str">
        <f>_xlfn.XLOOKUP("*'"&amp;K245&amp;"'*",Data_Dictionary[cclfMapping],Data_Dictionary[fhirPath],,2)</f>
        <v>ExplanationOfBenefit.supportingInfo.where(category.coding.system='http://hl7.org/fhir/us/carin-bb/CodeSystem/C4BBSupportingInfoType' and category.coding.code='admissionperiod').timing.start</v>
      </c>
    </row>
    <row r="246" spans="1:14" ht="84">
      <c r="A246" s="7" t="s">
        <v>2405</v>
      </c>
      <c r="B246" s="8">
        <v>6</v>
      </c>
      <c r="C246" s="7" t="s">
        <v>1541</v>
      </c>
      <c r="D246" s="7" t="s">
        <v>2408</v>
      </c>
      <c r="E246" s="8">
        <v>48</v>
      </c>
      <c r="F246" s="8">
        <v>48</v>
      </c>
      <c r="G246" s="8">
        <v>1</v>
      </c>
      <c r="H246" s="7" t="s">
        <v>1964</v>
      </c>
      <c r="I246" s="9" t="s">
        <v>2409</v>
      </c>
      <c r="J246" s="7">
        <v>245</v>
      </c>
      <c r="K246" s="7" t="str">
        <f t="shared" si="0"/>
        <v>CCLFA.CLM_NGACO_PBPMT_SW</v>
      </c>
      <c r="L246" s="7" t="str">
        <f>_xlfn.XLOOKUP("*'"&amp;K246&amp;"'*",Data_Dictionary[cclfMapping],Data_Dictionary[Field Name],,2)</f>
        <v>Claim NGACO PBPMT Switch</v>
      </c>
      <c r="M246" s="7" t="str">
        <f>_xlfn.XLOOKUP("*'"&amp;K246&amp;"'*",Data_Dictionary[cclfMapping],Data_Dictionary[Field Name],,2)</f>
        <v>Claim NGACO PBPMT Switch</v>
      </c>
      <c r="N246" s="7" t="str">
        <f>_xlfn.XLOOKUP("*'"&amp;K246&amp;"'*",Data_Dictionary[cclfMapping],Data_Dictionary[fhirPath],,2)</f>
        <v>ExplanationOfBenefit.supportingInfo.where(category.coding.where(system='https://bluebutton.cms.gov/fhir/CodeSystem/Supporting-Information').exists() and category.coding.where(code='CLM_NGACO_PBPMT_SW').exists()).value</v>
      </c>
    </row>
    <row r="247" spans="1:14" ht="84">
      <c r="A247" s="7" t="s">
        <v>2405</v>
      </c>
      <c r="B247" s="8">
        <v>7</v>
      </c>
      <c r="C247" s="7" t="s">
        <v>1547</v>
      </c>
      <c r="D247" s="7" t="s">
        <v>2410</v>
      </c>
      <c r="E247" s="8">
        <v>49</v>
      </c>
      <c r="F247" s="8">
        <v>49</v>
      </c>
      <c r="G247" s="8">
        <v>1</v>
      </c>
      <c r="H247" s="7" t="s">
        <v>1964</v>
      </c>
      <c r="I247" s="9" t="s">
        <v>2411</v>
      </c>
      <c r="J247" s="7">
        <v>246</v>
      </c>
      <c r="K247" s="7" t="str">
        <f t="shared" si="0"/>
        <v>CCLFA.CLM_NGACO_PDSCHRG_HCBS_SW</v>
      </c>
      <c r="L247" s="7" t="str">
        <f>_xlfn.XLOOKUP("*'"&amp;K247&amp;"'*",Data_Dictionary[cclfMapping],Data_Dictionary[Field Name],,2)</f>
        <v>Claim NGACO Post Discharge HCBS Switch</v>
      </c>
      <c r="M247" s="7" t="str">
        <f>_xlfn.XLOOKUP("*'"&amp;K247&amp;"'*",Data_Dictionary[cclfMapping],Data_Dictionary[Field Name],,2)</f>
        <v>Claim NGACO Post Discharge HCBS Switch</v>
      </c>
      <c r="N247" s="7" t="str">
        <f>_xlfn.XLOOKUP("*'"&amp;K247&amp;"'*",Data_Dictionary[cclfMapping],Data_Dictionary[fhirPath],,2)</f>
        <v>ExplanationOfBenefit.supportingInfo.where(category.coding.where(system='https://bluebutton.cms.gov/fhir/CodeSystem/Supporting-Information').exists() and category.coding.where(code='CLM_NGACO_PDSCHRG_HCBS_SW').exists()).value</v>
      </c>
    </row>
    <row r="248" spans="1:14" ht="84">
      <c r="A248" s="7" t="s">
        <v>2405</v>
      </c>
      <c r="B248" s="8">
        <v>8</v>
      </c>
      <c r="C248" s="7" t="s">
        <v>1553</v>
      </c>
      <c r="D248" s="7" t="s">
        <v>2412</v>
      </c>
      <c r="E248" s="8">
        <v>50</v>
      </c>
      <c r="F248" s="8">
        <v>50</v>
      </c>
      <c r="G248" s="8">
        <v>1</v>
      </c>
      <c r="H248" s="7" t="s">
        <v>1964</v>
      </c>
      <c r="I248" s="9" t="s">
        <v>2413</v>
      </c>
      <c r="J248" s="7">
        <v>247</v>
      </c>
      <c r="K248" s="7" t="str">
        <f t="shared" si="0"/>
        <v>CCLFA.CLM_NGACO_SNF_WVR_SW</v>
      </c>
      <c r="L248" s="7" t="str">
        <f>_xlfn.XLOOKUP("*'"&amp;K248&amp;"'*",Data_Dictionary[cclfMapping],Data_Dictionary[Field Name],,2)</f>
        <v>Claim NGACO SNF Waiver Switch</v>
      </c>
      <c r="M248" s="7" t="str">
        <f>_xlfn.XLOOKUP("*'"&amp;K248&amp;"'*",Data_Dictionary[cclfMapping],Data_Dictionary[Field Name],,2)</f>
        <v>Claim NGACO SNF Waiver Switch</v>
      </c>
      <c r="N248" s="7" t="str">
        <f>_xlfn.XLOOKUP("*'"&amp;K248&amp;"'*",Data_Dictionary[cclfMapping],Data_Dictionary[fhirPath],,2)</f>
        <v>ExplanationOfBenefit.supportingInfo.where(category.coding.where(system='https://bluebutton.cms.gov/fhir/CodeSystem/Supporting-Information').exists() and category.coding.where(code='CLM_NGACO_SNF_WVR_SW').exists()).value</v>
      </c>
    </row>
    <row r="249" spans="1:14" ht="96">
      <c r="A249" s="7" t="s">
        <v>2405</v>
      </c>
      <c r="B249" s="8">
        <v>9</v>
      </c>
      <c r="C249" s="7" t="s">
        <v>1559</v>
      </c>
      <c r="D249" s="7" t="s">
        <v>2414</v>
      </c>
      <c r="E249" s="8">
        <v>51</v>
      </c>
      <c r="F249" s="8">
        <v>51</v>
      </c>
      <c r="G249" s="8">
        <v>1</v>
      </c>
      <c r="H249" s="7" t="s">
        <v>1964</v>
      </c>
      <c r="I249" s="9" t="s">
        <v>2415</v>
      </c>
      <c r="J249" s="7">
        <v>248</v>
      </c>
      <c r="K249" s="7" t="str">
        <f t="shared" si="0"/>
        <v>CCLFA.CLM_NGACO_TLHLTH_SW</v>
      </c>
      <c r="L249" s="7" t="str">
        <f>_xlfn.XLOOKUP("*'"&amp;K249&amp;"'*",Data_Dictionary[cclfMapping],Data_Dictionary[Field Name],,2)</f>
        <v>Claim NGACO Telehealth Switch</v>
      </c>
      <c r="M249" s="7" t="str">
        <f>_xlfn.XLOOKUP("*'"&amp;K249&amp;"'*",Data_Dictionary[cclfMapping],Data_Dictionary[Field Name],,2)</f>
        <v>Claim NGACO Telehealth Switch</v>
      </c>
      <c r="N249" s="7" t="str">
        <f>_xlfn.XLOOKUP("*'"&amp;K249&amp;"'*",Data_Dictionary[cclfMapping],Data_Dictionary[fhirPath],,2)</f>
        <v>ExplanationOfBenefit.supportingInfo.where(category.coding.where(system='https://bluebutton.cms.gov/fhir/CodeSystem/Supporting-Information').exists() and category.coding.where(code='CLM_NGACO_TLHLTH_SW').exists()).value</v>
      </c>
    </row>
    <row r="250" spans="1:14" ht="84">
      <c r="A250" s="7" t="s">
        <v>2405</v>
      </c>
      <c r="B250" s="8">
        <v>10</v>
      </c>
      <c r="C250" s="7" t="s">
        <v>1565</v>
      </c>
      <c r="D250" s="7" t="s">
        <v>2416</v>
      </c>
      <c r="E250" s="8">
        <v>52</v>
      </c>
      <c r="F250" s="8">
        <v>52</v>
      </c>
      <c r="G250" s="8">
        <v>1</v>
      </c>
      <c r="H250" s="7" t="s">
        <v>1964</v>
      </c>
      <c r="I250" s="9" t="s">
        <v>2417</v>
      </c>
      <c r="J250" s="7">
        <v>249</v>
      </c>
      <c r="K250" s="7" t="str">
        <f t="shared" si="0"/>
        <v>CCLFA.CLM_NGACO_CPTATN_SW</v>
      </c>
      <c r="L250" s="7" t="str">
        <f>_xlfn.XLOOKUP("*'"&amp;K250&amp;"'*",Data_Dictionary[cclfMapping],Data_Dictionary[Field Name],,2)</f>
        <v>Claim NGACO Capitation Switch</v>
      </c>
      <c r="M250" s="7" t="str">
        <f>_xlfn.XLOOKUP("*'"&amp;K250&amp;"'*",Data_Dictionary[cclfMapping],Data_Dictionary[Field Name],,2)</f>
        <v>Claim NGACO Capitation Switch</v>
      </c>
      <c r="N250" s="7" t="str">
        <f>_xlfn.XLOOKUP("*'"&amp;K250&amp;"'*",Data_Dictionary[cclfMapping],Data_Dictionary[fhirPath],,2)</f>
        <v>ExplanationOfBenefit.supportingInfo.where(category.coding.where(system='https://bluebutton.cms.gov/fhir/CodeSystem/Supporting-Information').exists() and category.coding.where(code='CLM_NGACO_CPTATN_SW').exists()).value</v>
      </c>
    </row>
    <row r="251" spans="1:14" ht="72">
      <c r="A251" s="7" t="s">
        <v>2405</v>
      </c>
      <c r="B251" s="8">
        <v>11</v>
      </c>
      <c r="C251" s="7" t="s">
        <v>2418</v>
      </c>
      <c r="D251" s="7" t="s">
        <v>2419</v>
      </c>
      <c r="E251" s="8">
        <v>53</v>
      </c>
      <c r="F251" s="8">
        <v>54</v>
      </c>
      <c r="G251" s="8">
        <v>2</v>
      </c>
      <c r="H251" s="7" t="s">
        <v>2040</v>
      </c>
      <c r="I251" s="9" t="s">
        <v>2420</v>
      </c>
      <c r="J251" s="7">
        <v>250</v>
      </c>
      <c r="K251" s="7" t="str">
        <f t="shared" si="0"/>
        <v>CCLFA.CLM_DEMO_1ST_NUM</v>
      </c>
      <c r="L251" s="7" t="str">
        <f>_xlfn.XLOOKUP("*'"&amp;K251&amp;"'*",Data_Dictionary[cclfMapping],Data_Dictionary[Field Name],,2)</f>
        <v>Claim Benefit Enhancement Code 1</v>
      </c>
      <c r="M251" s="7" t="str">
        <f>_xlfn.XLOOKUP("*'"&amp;K251&amp;"'*",Data_Dictionary[cclfMapping],Data_Dictionary[Field Name],,2)</f>
        <v>Claim Benefit Enhancement Code 1</v>
      </c>
      <c r="N251" s="7" t="str">
        <f>_xlfn.XLOOKUP("*'"&amp;K251&amp;"'*",Data_Dictionary[cclfMapping],Data_Dictionary[fhirPath],,2)</f>
        <v>ExplanationOfBenefit.supportingInfo.where(category.coding.where(system='https://bluebutton.cms.gov/fhir/CodeSystem/Supporting-Information').exists() and category.coding.where(code='CLM_BNFT_ENHNCMT_CD').exists()).value</v>
      </c>
    </row>
    <row r="252" spans="1:14" ht="72">
      <c r="A252" s="7" t="s">
        <v>2405</v>
      </c>
      <c r="B252" s="8">
        <v>12</v>
      </c>
      <c r="C252" s="7" t="s">
        <v>2421</v>
      </c>
      <c r="D252" s="7" t="s">
        <v>2422</v>
      </c>
      <c r="E252" s="8">
        <v>55</v>
      </c>
      <c r="F252" s="8">
        <v>56</v>
      </c>
      <c r="G252" s="8">
        <v>2</v>
      </c>
      <c r="H252" s="7" t="s">
        <v>2040</v>
      </c>
      <c r="I252" s="9" t="s">
        <v>2423</v>
      </c>
      <c r="J252" s="7">
        <v>251</v>
      </c>
      <c r="K252" s="7" t="str">
        <f t="shared" si="0"/>
        <v>CCLFA.CLM_DEMO_2ND_NUM</v>
      </c>
      <c r="L252" s="7" t="str">
        <f>_xlfn.XLOOKUP("*'"&amp;K252&amp;"'*",Data_Dictionary[cclfMapping],Data_Dictionary[Field Name],,2)</f>
        <v>Claim Benefit Enhancement Code 2</v>
      </c>
      <c r="M252" s="7" t="str">
        <f>_xlfn.XLOOKUP("*'"&amp;K252&amp;"'*",Data_Dictionary[cclfMapping],Data_Dictionary[Field Name],,2)</f>
        <v>Claim Benefit Enhancement Code 2</v>
      </c>
      <c r="N252" s="7" t="str">
        <f>_xlfn.XLOOKUP("*'"&amp;K252&amp;"'*",Data_Dictionary[cclfMapping],Data_Dictionary[fhirPath],,2)</f>
        <v>ExplanationOfBenefit.supportingInfo.where(category.coding.where(system='https://bluebutton.cms.gov/fhir/CodeSystem/Supporting-Information').exists() and category.coding.where(code='CLM_BNFT_ENHNCMT_CD').exists()).value</v>
      </c>
    </row>
    <row r="253" spans="1:14" ht="72">
      <c r="A253" s="7" t="s">
        <v>2405</v>
      </c>
      <c r="B253" s="8">
        <v>13</v>
      </c>
      <c r="C253" s="7" t="s">
        <v>2424</v>
      </c>
      <c r="D253" s="7" t="s">
        <v>2425</v>
      </c>
      <c r="E253" s="8">
        <v>57</v>
      </c>
      <c r="F253" s="8">
        <v>58</v>
      </c>
      <c r="G253" s="8">
        <v>2</v>
      </c>
      <c r="H253" s="7" t="s">
        <v>2040</v>
      </c>
      <c r="I253" s="9" t="s">
        <v>2426</v>
      </c>
      <c r="J253" s="7">
        <v>252</v>
      </c>
      <c r="K253" s="7" t="str">
        <f t="shared" si="0"/>
        <v>CCLFA.CLM_DEMO_3RD_NUM</v>
      </c>
      <c r="L253" s="7" t="str">
        <f>_xlfn.XLOOKUP("*'"&amp;K253&amp;"'*",Data_Dictionary[cclfMapping],Data_Dictionary[Field Name],,2)</f>
        <v>Claim Benefit Enhancement Code 3</v>
      </c>
      <c r="M253" s="7" t="str">
        <f>_xlfn.XLOOKUP("*'"&amp;K253&amp;"'*",Data_Dictionary[cclfMapping],Data_Dictionary[Field Name],,2)</f>
        <v>Claim Benefit Enhancement Code 3</v>
      </c>
      <c r="N253" s="7" t="str">
        <f>_xlfn.XLOOKUP("*'"&amp;K253&amp;"'*",Data_Dictionary[cclfMapping],Data_Dictionary[fhirPath],,2)</f>
        <v>ExplanationOfBenefit.supportingInfo.where(category.coding.where(system='https://bluebutton.cms.gov/fhir/CodeSystem/Supporting-Information').exists() and category.coding.where(code='CLM_BNFT_ENHNCMT_CD').exists()).value</v>
      </c>
    </row>
    <row r="254" spans="1:14" ht="72">
      <c r="A254" s="7" t="s">
        <v>2405</v>
      </c>
      <c r="B254" s="8">
        <v>14</v>
      </c>
      <c r="C254" s="7" t="s">
        <v>2427</v>
      </c>
      <c r="D254" s="7" t="s">
        <v>2428</v>
      </c>
      <c r="E254" s="8">
        <v>59</v>
      </c>
      <c r="F254" s="8">
        <v>60</v>
      </c>
      <c r="G254" s="8">
        <v>2</v>
      </c>
      <c r="H254" s="7" t="s">
        <v>2040</v>
      </c>
      <c r="I254" s="9" t="s">
        <v>2429</v>
      </c>
      <c r="J254" s="7">
        <v>253</v>
      </c>
      <c r="K254" s="7" t="str">
        <f t="shared" si="0"/>
        <v>CCLFA.CLM_DEMO_4TH_NUM</v>
      </c>
      <c r="L254" s="7" t="str">
        <f>_xlfn.XLOOKUP("*'"&amp;K254&amp;"'*",Data_Dictionary[cclfMapping],Data_Dictionary[Field Name],,2)</f>
        <v>Claim Benefit Enhancement Code 4</v>
      </c>
      <c r="M254" s="7" t="str">
        <f>_xlfn.XLOOKUP("*'"&amp;K254&amp;"'*",Data_Dictionary[cclfMapping],Data_Dictionary[Field Name],,2)</f>
        <v>Claim Benefit Enhancement Code 4</v>
      </c>
      <c r="N254" s="7" t="str">
        <f>_xlfn.XLOOKUP("*'"&amp;K254&amp;"'*",Data_Dictionary[cclfMapping],Data_Dictionary[fhirPath],,2)</f>
        <v>ExplanationOfBenefit.supportingInfo.where(category.coding.where(system='https://bluebutton.cms.gov/fhir/CodeSystem/Supporting-Information').exists() and category.coding.where(code='CLM_BNFT_ENHNCMT_CD').exists()).value</v>
      </c>
    </row>
    <row r="255" spans="1:14" ht="72">
      <c r="A255" s="7" t="s">
        <v>2405</v>
      </c>
      <c r="B255" s="8">
        <v>15</v>
      </c>
      <c r="C255" s="7" t="s">
        <v>2430</v>
      </c>
      <c r="D255" s="7" t="s">
        <v>2431</v>
      </c>
      <c r="E255" s="8">
        <v>61</v>
      </c>
      <c r="F255" s="8">
        <v>62</v>
      </c>
      <c r="G255" s="8">
        <v>2</v>
      </c>
      <c r="H255" s="7" t="s">
        <v>2040</v>
      </c>
      <c r="I255" s="9" t="s">
        <v>2432</v>
      </c>
      <c r="J255" s="7">
        <v>254</v>
      </c>
      <c r="K255" s="7" t="str">
        <f t="shared" si="0"/>
        <v>CCLFA.CLM_DEMO_5TH_NUM</v>
      </c>
      <c r="L255" s="7" t="str">
        <f>_xlfn.XLOOKUP("*'"&amp;K255&amp;"'*",Data_Dictionary[cclfMapping],Data_Dictionary[Field Name],,2)</f>
        <v>Claim Benefit Enhancement Code 5</v>
      </c>
      <c r="M255" s="7" t="str">
        <f>_xlfn.XLOOKUP("*'"&amp;K255&amp;"'*",Data_Dictionary[cclfMapping],Data_Dictionary[Field Name],,2)</f>
        <v>Claim Benefit Enhancement Code 5</v>
      </c>
      <c r="N255" s="7" t="str">
        <f>_xlfn.XLOOKUP("*'"&amp;K255&amp;"'*",Data_Dictionary[cclfMapping],Data_Dictionary[fhirPath],,2)</f>
        <v>ExplanationOfBenefit.supportingInfo.where(category.coding.where(system='https://bluebutton.cms.gov/fhir/CodeSystem/Supporting-Information').exists() and category.coding.where(code='CLM_BNFT_ENHNCMT_CD').exists()).value</v>
      </c>
    </row>
    <row r="256" spans="1:14" ht="72">
      <c r="A256" s="7" t="s">
        <v>2405</v>
      </c>
      <c r="B256" s="8">
        <v>16</v>
      </c>
      <c r="C256" s="7" t="s">
        <v>2433</v>
      </c>
      <c r="D256" s="9" t="s">
        <v>2434</v>
      </c>
      <c r="E256" s="8">
        <v>63</v>
      </c>
      <c r="F256" s="8">
        <v>81</v>
      </c>
      <c r="G256" s="8">
        <v>19</v>
      </c>
      <c r="H256" s="7" t="s">
        <v>2435</v>
      </c>
      <c r="I256" s="9" t="s">
        <v>2436</v>
      </c>
      <c r="J256" s="7">
        <v>255</v>
      </c>
      <c r="K256" s="7" t="str">
        <f t="shared" si="0"/>
        <v>CCLFA.CLM_PBP_INCLSN_AMT</v>
      </c>
      <c r="L256" s="7" t="e">
        <f>_xlfn.XLOOKUP("*'"&amp;K256&amp;"'*",Data_Dictionary[cclfMapping],Data_Dictionary[Field Name],,2)</f>
        <v>#N/A</v>
      </c>
      <c r="M256" s="7" t="e">
        <f>_xlfn.XLOOKUP("*'"&amp;K256&amp;"'*",Data_Dictionary[cclfMapping],Data_Dictionary[Field Name],,2)</f>
        <v>#N/A</v>
      </c>
      <c r="N256" s="7" t="e">
        <f>_xlfn.XLOOKUP("*'"&amp;K256&amp;"'*",Data_Dictionary[cclfMapping],Data_Dictionary[fhirPath],,2)</f>
        <v>#N/A</v>
      </c>
    </row>
    <row r="257" spans="1:14" ht="72">
      <c r="A257" s="7" t="s">
        <v>2405</v>
      </c>
      <c r="B257" s="8">
        <v>17</v>
      </c>
      <c r="C257" s="7" t="s">
        <v>2437</v>
      </c>
      <c r="D257" s="9" t="s">
        <v>2438</v>
      </c>
      <c r="E257" s="8">
        <v>82</v>
      </c>
      <c r="F257" s="8">
        <v>100</v>
      </c>
      <c r="G257" s="8">
        <v>19</v>
      </c>
      <c r="H257" s="7" t="s">
        <v>2435</v>
      </c>
      <c r="I257" s="9" t="s">
        <v>2439</v>
      </c>
      <c r="J257" s="7">
        <v>256</v>
      </c>
      <c r="K257" s="7" t="str">
        <f t="shared" ref="K257:K294" si="1">A257&amp;"."&amp;C257</f>
        <v>CCLFA.CLM_PBP_RDCTN_AMT</v>
      </c>
      <c r="L257" s="7" t="e">
        <f>_xlfn.XLOOKUP("*'"&amp;K257&amp;"'*",Data_Dictionary[cclfMapping],Data_Dictionary[Field Name],,2)</f>
        <v>#N/A</v>
      </c>
      <c r="M257" s="7" t="e">
        <f>_xlfn.XLOOKUP("*'"&amp;K257&amp;"'*",Data_Dictionary[cclfMapping],Data_Dictionary[Field Name],,2)</f>
        <v>#N/A</v>
      </c>
      <c r="N257" s="7" t="e">
        <f>_xlfn.XLOOKUP("*'"&amp;K257&amp;"'*",Data_Dictionary[cclfMapping],Data_Dictionary[fhirPath],,2)</f>
        <v>#N/A</v>
      </c>
    </row>
    <row r="258" spans="1:14" ht="96">
      <c r="A258" s="7" t="s">
        <v>2405</v>
      </c>
      <c r="B258" s="8">
        <v>18</v>
      </c>
      <c r="C258" s="7" t="s">
        <v>2440</v>
      </c>
      <c r="D258" s="7" t="s">
        <v>2441</v>
      </c>
      <c r="E258" s="8">
        <v>101</v>
      </c>
      <c r="F258" s="8">
        <v>101</v>
      </c>
      <c r="G258" s="8">
        <v>1</v>
      </c>
      <c r="H258" s="7" t="s">
        <v>1964</v>
      </c>
      <c r="I258" s="9" t="s">
        <v>2442</v>
      </c>
      <c r="J258" s="7">
        <v>257</v>
      </c>
      <c r="K258" s="7" t="str">
        <f t="shared" si="1"/>
        <v>CCLFA.CLM_NGACO_CMG_WVR_SW</v>
      </c>
      <c r="L258" s="7" t="str">
        <f>_xlfn.XLOOKUP("*'"&amp;K258&amp;"'*",Data_Dictionary[cclfMapping],Data_Dictionary[Field Name],,2)</f>
        <v>Claim ACO Care Management HCBS Switch</v>
      </c>
      <c r="M258" s="7" t="str">
        <f>_xlfn.XLOOKUP("*'"&amp;K258&amp;"'*",Data_Dictionary[cclfMapping],Data_Dictionary[Field Name],,2)</f>
        <v>Claim ACO Care Management HCBS Switch</v>
      </c>
      <c r="N258" s="7" t="str">
        <f>_xlfn.XLOOKUP("*'"&amp;K258&amp;"'*",Data_Dictionary[cclfMapping],Data_Dictionary[fhirPath],,2)</f>
        <v>ExplanationOfBenefit.supportingInfo.where(category.coding.where(system='https://bluebutton.cms.gov/fhir/CodeSystem/Supporting-Information').exists() and category.coding.where(code='CLM_ACO_CARE_MGMT_HCBS_SW').exists()).value</v>
      </c>
    </row>
    <row r="259" spans="1:14" ht="24">
      <c r="A259" s="7" t="s">
        <v>2405</v>
      </c>
      <c r="B259" s="8">
        <v>19</v>
      </c>
      <c r="C259" s="7" t="s">
        <v>917</v>
      </c>
      <c r="D259" s="7" t="s">
        <v>2443</v>
      </c>
      <c r="E259" s="8">
        <v>102</v>
      </c>
      <c r="F259" s="8">
        <v>120</v>
      </c>
      <c r="G259" s="8">
        <v>19</v>
      </c>
      <c r="H259" s="7" t="s">
        <v>2435</v>
      </c>
      <c r="I259" s="7" t="s">
        <v>2444</v>
      </c>
      <c r="J259" s="7">
        <v>258</v>
      </c>
      <c r="K259" s="7" t="str">
        <f t="shared" si="1"/>
        <v>CCLFA.CLM_INSTNL_PER_DIEM_AMT</v>
      </c>
      <c r="L259" s="7" t="str">
        <f>_xlfn.XLOOKUP("*'"&amp;K259&amp;"'*",Data_Dictionary[cclfMapping],Data_Dictionary[Field Name],,2)</f>
        <v>Pass Through Per Diem Amount</v>
      </c>
      <c r="M259" s="7" t="str">
        <f>_xlfn.XLOOKUP("*'"&amp;K259&amp;"'*",Data_Dictionary[cclfMapping],Data_Dictionary[Field Name],,2)</f>
        <v>Pass Through Per Diem Amount</v>
      </c>
      <c r="N259" s="7" t="str">
        <f>_xlfn.XLOOKUP("*'"&amp;K259&amp;"'*",Data_Dictionary[cclfMapping],Data_Dictionary[fhirPath],,2)</f>
        <v>ExplanationOfBenefit.adjudication.where(category.coding.where(system='https://bluebutton.cms.gov/fhir/CodeSystem/Adjudication' and code='CLM_INSTNL_PER_DIEM_AMT').exists()).amount.value</v>
      </c>
    </row>
    <row r="260" spans="1:14" ht="36">
      <c r="A260" s="7" t="s">
        <v>2405</v>
      </c>
      <c r="B260" s="8">
        <v>20</v>
      </c>
      <c r="C260" s="7" t="s">
        <v>1027</v>
      </c>
      <c r="D260" s="7" t="s">
        <v>2445</v>
      </c>
      <c r="E260" s="8">
        <v>121</v>
      </c>
      <c r="F260" s="8">
        <v>135</v>
      </c>
      <c r="G260" s="8">
        <v>15</v>
      </c>
      <c r="H260" s="7" t="s">
        <v>2052</v>
      </c>
      <c r="I260" s="7" t="s">
        <v>2446</v>
      </c>
      <c r="J260" s="7">
        <v>259</v>
      </c>
      <c r="K260" s="7" t="str">
        <f t="shared" si="1"/>
        <v>CCLFA.CLM_MDCR_IP_BENE_DDCTBL_AMT</v>
      </c>
      <c r="L260" s="7" t="str">
        <f>_xlfn.XLOOKUP("*'"&amp;K260&amp;"'*",Data_Dictionary[cclfMapping],Data_Dictionary[Field Name],,2)</f>
        <v>Deductible Amount</v>
      </c>
      <c r="M260" s="7" t="str">
        <f>_xlfn.XLOOKUP("*'"&amp;K260&amp;"'*",Data_Dictionary[cclfMapping],Data_Dictionary[Field Name],,2)</f>
        <v>Deductible Amount</v>
      </c>
      <c r="N260" s="7" t="str">
        <f>_xlfn.XLOOKUP("*'"&amp;K260&amp;"'*",Data_Dictionary[cclfMapping],Data_Dictionary[fhirPath],,2)</f>
        <v>ExplanationOfBenefit.adjudication.where(category.coding.where(system='https://bluebutton.cms.gov/fhir/CodeSystem/Adjudication' and code='CLM_MDCR_IP_BENE_DDCTBL_AMT').exists()).amount.value</v>
      </c>
    </row>
    <row r="261" spans="1:14" ht="24">
      <c r="A261" s="7" t="s">
        <v>2405</v>
      </c>
      <c r="B261" s="8">
        <v>21</v>
      </c>
      <c r="C261" s="7" t="s">
        <v>1033</v>
      </c>
      <c r="D261" s="7" t="s">
        <v>2447</v>
      </c>
      <c r="E261" s="8">
        <v>136</v>
      </c>
      <c r="F261" s="8">
        <v>154</v>
      </c>
      <c r="G261" s="8">
        <v>19</v>
      </c>
      <c r="H261" s="7" t="s">
        <v>2435</v>
      </c>
      <c r="I261" s="7" t="s">
        <v>2448</v>
      </c>
      <c r="J261" s="7">
        <v>260</v>
      </c>
      <c r="K261" s="7" t="str">
        <f t="shared" si="1"/>
        <v>CCLFA.CLM_MDCR_COINSRNC_AMT</v>
      </c>
      <c r="L261" s="7" t="str">
        <f>_xlfn.XLOOKUP("*'"&amp;K261&amp;"'*",Data_Dictionary[cclfMapping],Data_Dictionary[Field Name],,2)</f>
        <v>Part A/B Coinsurance Liability Amount</v>
      </c>
      <c r="M261" s="7" t="str">
        <f>_xlfn.XLOOKUP("*'"&amp;K261&amp;"'*",Data_Dictionary[cclfMapping],Data_Dictionary[Field Name],,2)</f>
        <v>Part A/B Coinsurance Liability Amount</v>
      </c>
      <c r="N261" s="7" t="str">
        <f>_xlfn.XLOOKUP("*'"&amp;K261&amp;"'*",Data_Dictionary[cclfMapping],Data_Dictionary[fhirPath],,2)</f>
        <v>ExplanationOfBenefit.total.where(category.coding.where(system='http://hl7.org/fhir/us/carin-bb/CodeSystem/C4BBAdjudication' and code='coinsurance').exists() and category.coding.where(system='https://bluebutton.cms.gov/fhir/CodeSystem/Adjudication' and code='CLM_MDCR_COINSRNC_AMT').exists()).amount.value</v>
      </c>
    </row>
    <row r="262" spans="1:14" ht="24">
      <c r="A262" s="7" t="s">
        <v>2405</v>
      </c>
      <c r="B262" s="8">
        <v>22</v>
      </c>
      <c r="C262" s="7" t="s">
        <v>1021</v>
      </c>
      <c r="D262" s="7" t="s">
        <v>2449</v>
      </c>
      <c r="E262" s="8">
        <v>155</v>
      </c>
      <c r="F262" s="8">
        <v>169</v>
      </c>
      <c r="G262" s="8">
        <v>15</v>
      </c>
      <c r="H262" s="7" t="s">
        <v>2052</v>
      </c>
      <c r="I262" s="7" t="s">
        <v>2450</v>
      </c>
      <c r="J262" s="7">
        <v>261</v>
      </c>
      <c r="K262" s="7" t="str">
        <f t="shared" si="1"/>
        <v>CCLFA.CLM_BLOOD_LBLTY_AMT</v>
      </c>
      <c r="L262" s="7" t="str">
        <f>_xlfn.XLOOKUP("*'"&amp;K262&amp;"'*",Data_Dictionary[cclfMapping],Data_Dictionary[Field Name],,2)</f>
        <v>Blood Deductible Liability Amount</v>
      </c>
      <c r="M262" s="7" t="str">
        <f>_xlfn.XLOOKUP("*'"&amp;K262&amp;"'*",Data_Dictionary[cclfMapping],Data_Dictionary[Field Name],,2)</f>
        <v>Blood Deductible Liability Amount</v>
      </c>
      <c r="N262" s="7" t="str">
        <f>_xlfn.XLOOKUP("*'"&amp;K262&amp;"'*",Data_Dictionary[cclfMapping],Data_Dictionary[fhirPath],,2)</f>
        <v>ExplanationOfBenefit.adjudication.where(category.coding.where(system='https://bluebutton.cms.gov/fhir/CodeSystem/Adjudication' and code='CLM_BLOOD_LBLTY_AMT').exists()).amount.value</v>
      </c>
    </row>
    <row r="263" spans="1:14" ht="48">
      <c r="A263" s="7" t="s">
        <v>2405</v>
      </c>
      <c r="B263" s="8">
        <v>23</v>
      </c>
      <c r="C263" s="7" t="s">
        <v>1015</v>
      </c>
      <c r="D263" s="7" t="s">
        <v>2451</v>
      </c>
      <c r="E263" s="8">
        <v>170</v>
      </c>
      <c r="F263" s="8">
        <v>184</v>
      </c>
      <c r="G263" s="8">
        <v>15</v>
      </c>
      <c r="H263" s="7" t="s">
        <v>2052</v>
      </c>
      <c r="I263" s="7" t="s">
        <v>2452</v>
      </c>
      <c r="J263" s="7">
        <v>262</v>
      </c>
      <c r="K263" s="7" t="str">
        <f t="shared" si="1"/>
        <v>CCLFA.CLM_INSTNL_PRFNL_AMT</v>
      </c>
      <c r="L263" s="7" t="str">
        <f>_xlfn.XLOOKUP("*'"&amp;K263&amp;"'*",Data_Dictionary[cclfMapping],Data_Dictionary[Field Name],,2)</f>
        <v>Professional Component Charge</v>
      </c>
      <c r="M263" s="7" t="str">
        <f>_xlfn.XLOOKUP("*'"&amp;K263&amp;"'*",Data_Dictionary[cclfMapping],Data_Dictionary[Field Name],,2)</f>
        <v>Professional Component Charge</v>
      </c>
      <c r="N263" s="7" t="str">
        <f>_xlfn.XLOOKUP("*'"&amp;K263&amp;"'*",Data_Dictionary[cclfMapping],Data_Dictionary[fhirPath],,2)</f>
        <v>ExplanationOfBenefit.adjudication.where(category.coding.where(system='https://bluebutton.cms.gov/fhir/CodeSystem/Adjudication' and code='CLM_INSTNL_PRFNL_AMT').exists()).amount.value</v>
      </c>
    </row>
    <row r="264" spans="1:14" ht="48">
      <c r="A264" s="7" t="s">
        <v>2405</v>
      </c>
      <c r="B264" s="8">
        <v>24</v>
      </c>
      <c r="C264" s="7" t="s">
        <v>453</v>
      </c>
      <c r="D264" s="7" t="s">
        <v>2453</v>
      </c>
      <c r="E264" s="8">
        <v>185</v>
      </c>
      <c r="F264" s="8">
        <v>203</v>
      </c>
      <c r="G264" s="8">
        <v>19</v>
      </c>
      <c r="H264" s="7" t="s">
        <v>2435</v>
      </c>
      <c r="I264" s="7" t="s">
        <v>2454</v>
      </c>
      <c r="J264" s="7">
        <v>263</v>
      </c>
      <c r="K264" s="7" t="str">
        <f t="shared" si="1"/>
        <v>CCLFA.CLM_NCVRD_CHRG_AMT</v>
      </c>
      <c r="L264" s="7" t="str">
        <f>_xlfn.XLOOKUP("*'"&amp;K264&amp;"'*",Data_Dictionary[cclfMapping],Data_Dictionary[Field Name],,2)</f>
        <v>Noncovered Charge Amount</v>
      </c>
      <c r="M264" s="7" t="str">
        <f>_xlfn.XLOOKUP("*'"&amp;K264&amp;"'*",Data_Dictionary[cclfMapping],Data_Dictionary[Field Name],,2)</f>
        <v>Noncovered Charge Amount</v>
      </c>
      <c r="N264" s="7" t="str">
        <f>_xlfn.XLOOKUP("*'"&amp;K264&amp;"'*",Data_Dictionary[cclfMapping],Data_Dictionary[fhirPath],,2)</f>
        <v>ExplanationOfBenefit.total.where(category.coding.where(system='http://hl7.org/fhir/us/carin-bb/CodeSystem/C4BBAdjudication' and code='noncovered').exists() and category.coding.where(system='https://bluebutton.cms.gov/fhir/CodeSystem/Adjudication' and code='CLM_NCVRD_CHRG_AMT').exists()).amount.value</v>
      </c>
    </row>
    <row r="265" spans="1:14" ht="24">
      <c r="A265" s="7" t="s">
        <v>2405</v>
      </c>
      <c r="B265" s="8">
        <v>25</v>
      </c>
      <c r="C265" s="7" t="s">
        <v>460</v>
      </c>
      <c r="D265" s="7" t="s">
        <v>2455</v>
      </c>
      <c r="E265" s="8">
        <v>204</v>
      </c>
      <c r="F265" s="8">
        <v>222</v>
      </c>
      <c r="G265" s="8">
        <v>19</v>
      </c>
      <c r="H265" s="7" t="s">
        <v>2435</v>
      </c>
      <c r="I265" s="7" t="s">
        <v>2456</v>
      </c>
      <c r="J265" s="7">
        <v>264</v>
      </c>
      <c r="K265" s="7" t="str">
        <f t="shared" si="1"/>
        <v>CCLFA.CLM_MDCR_DDCTBL_AMT</v>
      </c>
      <c r="L265" s="7" t="str">
        <f>_xlfn.XLOOKUP("*'"&amp;K265&amp;"'*",Data_Dictionary[cclfMapping],Data_Dictionary[Field Name],,2)</f>
        <v>Inpatient/Outpatient Total Deduction Amount</v>
      </c>
      <c r="M265" s="7" t="str">
        <f>_xlfn.XLOOKUP("*'"&amp;K265&amp;"'*",Data_Dictionary[cclfMapping],Data_Dictionary[Field Name],,2)</f>
        <v>Inpatient/Outpatient Total Deduction Amount</v>
      </c>
      <c r="N265" s="7" t="str">
        <f>_xlfn.XLOOKUP("*'"&amp;K265&amp;"'*",Data_Dictionary[cclfMapping],Data_Dictionary[fhirPath],,2)</f>
        <v>ExplanationOfBenefit.total.where(category.coding.where(system='http://terminology.hl7.org/CodeSystem/adjudication' and code='deductible').exists() and category.coding.where(system='https://bluebutton.cms.gov/fhir/CodeSystem/Adjudication' and code='CLM_MDCR_DDCTBL_AMT').exists()).amount.value</v>
      </c>
    </row>
    <row r="266" spans="1:14" ht="24">
      <c r="A266" s="7" t="s">
        <v>2405</v>
      </c>
      <c r="B266" s="8">
        <v>26</v>
      </c>
      <c r="C266" s="7" t="s">
        <v>2457</v>
      </c>
      <c r="D266" s="7" t="s">
        <v>2458</v>
      </c>
      <c r="E266" s="8">
        <v>223</v>
      </c>
      <c r="F266" s="8">
        <v>224</v>
      </c>
      <c r="G266" s="8">
        <v>2</v>
      </c>
      <c r="H266" s="7" t="s">
        <v>2040</v>
      </c>
      <c r="I266" s="7" t="s">
        <v>2459</v>
      </c>
      <c r="J266" s="7">
        <v>265</v>
      </c>
      <c r="K266" s="7" t="str">
        <f t="shared" si="1"/>
        <v>CCLFA.CLM_RLT_COND_CD</v>
      </c>
      <c r="L266" s="7" t="str">
        <f>_xlfn.XLOOKUP("*'"&amp;K266&amp;"'*",Data_Dictionary[cclfMapping],Data_Dictionary[Field Name],,2)</f>
        <v>Claim Related Condition Code</v>
      </c>
      <c r="M266" s="7" t="str">
        <f>_xlfn.XLOOKUP("*'"&amp;K266&amp;"'*",Data_Dictionary[cclfMapping],Data_Dictionary[Field Name],,2)</f>
        <v>Claim Related Condition Code</v>
      </c>
      <c r="N266" s="7" t="str">
        <f>_xlfn.XLOOKUP("*'"&amp;K266&amp;"'*",Data_Dictionary[cclfMapping],Data_Dictionary[fhirPath],,2)</f>
        <v>ExplanationOfBenefit.supportingInfo.where(code.coding.system='https://bluebutton.cms.gov/fhir/CodeSystem/CLM-RLT-COND-CD').code.coding.code</v>
      </c>
    </row>
    <row r="267" spans="1:14" ht="24">
      <c r="A267" s="7" t="s">
        <v>2405</v>
      </c>
      <c r="B267" s="8">
        <v>27</v>
      </c>
      <c r="C267" s="7" t="s">
        <v>2460</v>
      </c>
      <c r="D267" s="7" t="s">
        <v>2461</v>
      </c>
      <c r="E267" s="8">
        <v>225</v>
      </c>
      <c r="F267" s="8">
        <v>243</v>
      </c>
      <c r="G267" s="8">
        <v>19</v>
      </c>
      <c r="H267" s="7" t="s">
        <v>2435</v>
      </c>
      <c r="I267" s="7" t="s">
        <v>2462</v>
      </c>
      <c r="J267" s="7">
        <v>266</v>
      </c>
      <c r="K267" s="7" t="str">
        <f t="shared" si="1"/>
        <v>CCLFA.CLM_OPRTNL_OUTLR_AMT</v>
      </c>
      <c r="L267" s="7" t="e">
        <f>_xlfn.XLOOKUP("*'"&amp;K267&amp;"'*",Data_Dictionary[cclfMapping],Data_Dictionary[Field Name],,2)</f>
        <v>#N/A</v>
      </c>
      <c r="M267" s="7" t="e">
        <f>_xlfn.XLOOKUP("*'"&amp;K267&amp;"'*",Data_Dictionary[cclfMapping],Data_Dictionary[Field Name],,2)</f>
        <v>#N/A</v>
      </c>
      <c r="N267" s="7" t="e">
        <f>_xlfn.XLOOKUP("*'"&amp;K267&amp;"'*",Data_Dictionary[cclfMapping],Data_Dictionary[fhirPath],,2)</f>
        <v>#N/A</v>
      </c>
    </row>
    <row r="268" spans="1:14" ht="24">
      <c r="A268" s="7" t="s">
        <v>2405</v>
      </c>
      <c r="B268" s="8">
        <v>28</v>
      </c>
      <c r="C268" s="7" t="s">
        <v>2463</v>
      </c>
      <c r="D268" s="7" t="s">
        <v>2464</v>
      </c>
      <c r="E268" s="8">
        <v>244</v>
      </c>
      <c r="F268" s="8">
        <v>262</v>
      </c>
      <c r="G268" s="8">
        <v>19</v>
      </c>
      <c r="H268" s="7" t="s">
        <v>2435</v>
      </c>
      <c r="I268" s="7" t="s">
        <v>2465</v>
      </c>
      <c r="J268" s="7">
        <v>267</v>
      </c>
      <c r="K268" s="7" t="str">
        <f t="shared" si="1"/>
        <v>CCLFA.CLM_MDCR_NEW_TECH_AMT</v>
      </c>
      <c r="L268" s="7" t="e">
        <f>_xlfn.XLOOKUP("*'"&amp;K268&amp;"'*",Data_Dictionary[cclfMapping],Data_Dictionary[Field Name],,2)</f>
        <v>#N/A</v>
      </c>
      <c r="M268" s="7" t="e">
        <f>_xlfn.XLOOKUP("*'"&amp;K268&amp;"'*",Data_Dictionary[cclfMapping],Data_Dictionary[Field Name],,2)</f>
        <v>#N/A</v>
      </c>
      <c r="N268" s="7" t="e">
        <f>_xlfn.XLOOKUP("*'"&amp;K268&amp;"'*",Data_Dictionary[cclfMapping],Data_Dictionary[fhirPath],,2)</f>
        <v>#N/A</v>
      </c>
    </row>
    <row r="269" spans="1:14" ht="24">
      <c r="A269" s="7" t="s">
        <v>2405</v>
      </c>
      <c r="B269" s="8">
        <v>29</v>
      </c>
      <c r="C269" s="7" t="s">
        <v>2466</v>
      </c>
      <c r="D269" s="9" t="s">
        <v>2467</v>
      </c>
      <c r="E269" s="8">
        <v>263</v>
      </c>
      <c r="F269" s="8">
        <v>281</v>
      </c>
      <c r="G269" s="8">
        <v>19</v>
      </c>
      <c r="H269" s="7" t="s">
        <v>2435</v>
      </c>
      <c r="I269" s="7" t="s">
        <v>2468</v>
      </c>
      <c r="J269" s="7">
        <v>268</v>
      </c>
      <c r="K269" s="7" t="str">
        <f t="shared" si="1"/>
        <v>CCLFA.CLM_ISLET_ISOLN_AMT</v>
      </c>
      <c r="L269" s="7" t="e">
        <f>_xlfn.XLOOKUP("*'"&amp;K269&amp;"'*",Data_Dictionary[cclfMapping],Data_Dictionary[Field Name],,2)</f>
        <v>#N/A</v>
      </c>
      <c r="M269" s="7" t="e">
        <f>_xlfn.XLOOKUP("*'"&amp;K269&amp;"'*",Data_Dictionary[cclfMapping],Data_Dictionary[Field Name],,2)</f>
        <v>#N/A</v>
      </c>
      <c r="N269" s="7" t="e">
        <f>_xlfn.XLOOKUP("*'"&amp;K269&amp;"'*",Data_Dictionary[cclfMapping],Data_Dictionary[fhirPath],,2)</f>
        <v>#N/A</v>
      </c>
    </row>
    <row r="270" spans="1:14" ht="24">
      <c r="A270" s="7" t="s">
        <v>2405</v>
      </c>
      <c r="B270" s="8">
        <v>30</v>
      </c>
      <c r="C270" s="7" t="s">
        <v>2469</v>
      </c>
      <c r="D270" s="7" t="s">
        <v>2470</v>
      </c>
      <c r="E270" s="8">
        <v>282</v>
      </c>
      <c r="F270" s="8">
        <v>300</v>
      </c>
      <c r="G270" s="8">
        <v>19</v>
      </c>
      <c r="H270" s="7" t="s">
        <v>2435</v>
      </c>
      <c r="I270" s="7" t="s">
        <v>2471</v>
      </c>
      <c r="J270" s="7">
        <v>269</v>
      </c>
      <c r="K270" s="7" t="str">
        <f t="shared" si="1"/>
        <v>CCLFA.CLM_SQSTRTN_RDCTN_AMT</v>
      </c>
      <c r="L270" s="7" t="e">
        <f>_xlfn.XLOOKUP("*'"&amp;K270&amp;"'*",Data_Dictionary[cclfMapping],Data_Dictionary[Field Name],,2)</f>
        <v>#N/A</v>
      </c>
      <c r="M270" s="7" t="e">
        <f>_xlfn.XLOOKUP("*'"&amp;K270&amp;"'*",Data_Dictionary[cclfMapping],Data_Dictionary[Field Name],,2)</f>
        <v>#N/A</v>
      </c>
      <c r="N270" s="7" t="e">
        <f>_xlfn.XLOOKUP("*'"&amp;K270&amp;"'*",Data_Dictionary[cclfMapping],Data_Dictionary[fhirPath],,2)</f>
        <v>#N/A</v>
      </c>
    </row>
    <row r="271" spans="1:14" ht="24">
      <c r="A271" s="7" t="s">
        <v>2405</v>
      </c>
      <c r="B271" s="8">
        <v>31</v>
      </c>
      <c r="C271" s="7" t="s">
        <v>662</v>
      </c>
      <c r="D271" s="7" t="s">
        <v>2472</v>
      </c>
      <c r="E271" s="8">
        <v>301</v>
      </c>
      <c r="F271" s="8">
        <v>303</v>
      </c>
      <c r="G271" s="8">
        <v>3</v>
      </c>
      <c r="H271" s="7" t="s">
        <v>2248</v>
      </c>
      <c r="I271" s="7" t="s">
        <v>2473</v>
      </c>
      <c r="J271" s="7">
        <v>270</v>
      </c>
      <c r="K271" s="7" t="str">
        <f t="shared" si="1"/>
        <v>CCLFA.CLM_1_REV_CNTR_ANSI_RSN_CD</v>
      </c>
      <c r="L271" s="7" t="str">
        <f>_xlfn.XLOOKUP("*'"&amp;K271&amp;"'*",Data_Dictionary[cclfMapping],Data_Dictionary[Field Name],,2)</f>
        <v>Claim Line Adjustment Reason Code 1</v>
      </c>
      <c r="M271" s="7" t="str">
        <f>_xlfn.XLOOKUP("*'"&amp;K271&amp;"'*",Data_Dictionary[cclfMapping],Data_Dictionary[Field Name],,2)</f>
        <v>Claim Line Adjustment Reason Code 1</v>
      </c>
      <c r="N271" s="7" t="str">
        <f>_xlfn.XLOOKUP("*'"&amp;K271&amp;"'*",Data_Dictionary[cclfMapping],Data_Dictionary[fhirPath],,2)</f>
        <v>ExplanationOfBenefit.item.adjudication.reason.coding.where(system='https://bluebutton.cms.gov/fhir/CodeSystem/ANSI-RSN-CD').code</v>
      </c>
    </row>
    <row r="272" spans="1:14" ht="24">
      <c r="A272" s="7" t="s">
        <v>2405</v>
      </c>
      <c r="B272" s="8">
        <v>32</v>
      </c>
      <c r="C272" s="7" t="s">
        <v>669</v>
      </c>
      <c r="D272" s="7" t="s">
        <v>2474</v>
      </c>
      <c r="E272" s="8">
        <v>304</v>
      </c>
      <c r="F272" s="8">
        <v>305</v>
      </c>
      <c r="G272" s="8">
        <v>2</v>
      </c>
      <c r="H272" s="7" t="s">
        <v>2040</v>
      </c>
      <c r="I272" s="7" t="s">
        <v>2475</v>
      </c>
      <c r="J272" s="7">
        <v>271</v>
      </c>
      <c r="K272" s="7" t="str">
        <f t="shared" si="1"/>
        <v>CCLFA.CLM_1_REV_CNTR_ANSI_GRP_CD</v>
      </c>
      <c r="L272" s="7" t="str">
        <f>_xlfn.XLOOKUP("*'"&amp;K272&amp;"'*",Data_Dictionary[cclfMapping],Data_Dictionary[Field Name],,2)</f>
        <v>Claim Line Adjustment Group Code 1</v>
      </c>
      <c r="M272" s="7" t="str">
        <f>_xlfn.XLOOKUP("*'"&amp;K272&amp;"'*",Data_Dictionary[cclfMapping],Data_Dictionary[Field Name],,2)</f>
        <v>Claim Line Adjustment Group Code 1</v>
      </c>
      <c r="N272" s="7" t="str">
        <f>_xlfn.XLOOKUP("*'"&amp;K272&amp;"'*",Data_Dictionary[cclfMapping],Data_Dictionary[fhirPath],,2)</f>
        <v>ExplanationOfBenefit.item.adjudication.reason.coding.where(system='https://bluebutton.cms.gov/fhir/CodeSystem/ANSI-GRP-CD').code</v>
      </c>
    </row>
    <row r="273" spans="1:14" ht="24">
      <c r="A273" s="7" t="s">
        <v>2405</v>
      </c>
      <c r="B273" s="8">
        <v>33</v>
      </c>
      <c r="C273" s="7" t="s">
        <v>2476</v>
      </c>
      <c r="D273" s="7" t="s">
        <v>2477</v>
      </c>
      <c r="E273" s="8">
        <v>306</v>
      </c>
      <c r="F273" s="8">
        <v>324</v>
      </c>
      <c r="G273" s="8">
        <v>19</v>
      </c>
      <c r="H273" s="7" t="s">
        <v>2435</v>
      </c>
      <c r="I273" s="7" t="s">
        <v>2478</v>
      </c>
      <c r="J273" s="7">
        <v>272</v>
      </c>
      <c r="K273" s="7" t="str">
        <f t="shared" si="1"/>
        <v>CCLFA.CLM_MIPS_PMT_AMT</v>
      </c>
      <c r="L273" s="7" t="e">
        <f>_xlfn.XLOOKUP("*'"&amp;K273&amp;"'*",Data_Dictionary[cclfMapping],Data_Dictionary[Field Name],,2)</f>
        <v>#N/A</v>
      </c>
      <c r="M273" s="7" t="e">
        <f>_xlfn.XLOOKUP("*'"&amp;K273&amp;"'*",Data_Dictionary[cclfMapping],Data_Dictionary[Field Name],,2)</f>
        <v>#N/A</v>
      </c>
      <c r="N273" s="7" t="e">
        <f>_xlfn.XLOOKUP("*'"&amp;K273&amp;"'*",Data_Dictionary[cclfMapping],Data_Dictionary[fhirPath],,2)</f>
        <v>#N/A</v>
      </c>
    </row>
    <row r="274" spans="1:14" ht="36">
      <c r="A274" s="7" t="s">
        <v>2479</v>
      </c>
      <c r="B274" s="8">
        <v>1</v>
      </c>
      <c r="C274" s="7" t="s">
        <v>1974</v>
      </c>
      <c r="D274" s="7" t="s">
        <v>1975</v>
      </c>
      <c r="E274" s="8">
        <v>1</v>
      </c>
      <c r="F274" s="8">
        <v>13</v>
      </c>
      <c r="G274" s="8">
        <v>13</v>
      </c>
      <c r="H274" s="7" t="s">
        <v>1976</v>
      </c>
      <c r="I274" s="9" t="s">
        <v>1977</v>
      </c>
      <c r="J274" s="7">
        <v>273</v>
      </c>
      <c r="K274" s="7" t="str">
        <f t="shared" si="1"/>
        <v>CCLFB.CUR_CLM_UNIQ_ID</v>
      </c>
      <c r="L274" s="7" t="str">
        <f>_xlfn.XLOOKUP("*'"&amp;K274&amp;"'*",Data_Dictionary[cclfMapping],Data_Dictionary[Field Name],,2)</f>
        <v>The claim unique ID is a unique ID for the claim within the source system.</v>
      </c>
      <c r="M274" s="7" t="str">
        <f>_xlfn.XLOOKUP("*'"&amp;K274&amp;"'*",Data_Dictionary[cclfMapping],Data_Dictionary[Field Name],,2)</f>
        <v>The claim unique ID is a unique ID for the claim within the source system.</v>
      </c>
      <c r="N274" s="7" t="str">
        <f>_xlfn.XLOOKUP("*'"&amp;K274&amp;"'*",Data_Dictionary[cclfMapping],Data_Dictionary[fhirPath],,2)</f>
        <v>ExplanationOfBenefit.identifier.where(type.coding.system = 'http://hl7.org/fhir/us/carin-bb/CodeSystem/C4BBIdentifierType' and type.coding.code = 'uc' ).value</v>
      </c>
    </row>
    <row r="275" spans="1:14" ht="24">
      <c r="A275" s="7" t="s">
        <v>2479</v>
      </c>
      <c r="B275" s="8">
        <v>2</v>
      </c>
      <c r="C275" s="7" t="s">
        <v>195</v>
      </c>
      <c r="D275" s="7" t="s">
        <v>2092</v>
      </c>
      <c r="E275" s="8">
        <v>14</v>
      </c>
      <c r="F275" s="8">
        <v>23</v>
      </c>
      <c r="G275" s="8">
        <v>10</v>
      </c>
      <c r="H275" s="7" t="s">
        <v>2093</v>
      </c>
      <c r="I275" s="7" t="s">
        <v>2160</v>
      </c>
      <c r="J275" s="7">
        <v>274</v>
      </c>
      <c r="K275" s="7" t="str">
        <f t="shared" si="1"/>
        <v>CCLFB.CLM_LINE_NUM</v>
      </c>
      <c r="L275" s="7" t="str">
        <f>_xlfn.XLOOKUP("*'"&amp;K275&amp;"'*",Data_Dictionary[cclfMapping],Data_Dictionary[Field Name],,2)</f>
        <v>Line Item Sequence Number</v>
      </c>
      <c r="M275" s="7" t="str">
        <f>_xlfn.XLOOKUP("*'"&amp;K275&amp;"'*",Data_Dictionary[cclfMapping],Data_Dictionary[Field Name],,2)</f>
        <v>Line Item Sequence Number</v>
      </c>
      <c r="N275" s="7" t="str">
        <f>_xlfn.XLOOKUP("*'"&amp;K275&amp;"'*",Data_Dictionary[cclfMapping],Data_Dictionary[fhirPath],,2)</f>
        <v>ExplanationOfBenefit.item.sequence</v>
      </c>
    </row>
    <row r="276" spans="1:14" ht="24">
      <c r="A276" s="7" t="s">
        <v>2479</v>
      </c>
      <c r="B276" s="8">
        <v>3</v>
      </c>
      <c r="C276" s="7" t="s">
        <v>1739</v>
      </c>
      <c r="D276" s="7" t="s">
        <v>1734</v>
      </c>
      <c r="E276" s="8">
        <v>24</v>
      </c>
      <c r="F276" s="8">
        <v>34</v>
      </c>
      <c r="G276" s="8">
        <v>11</v>
      </c>
      <c r="H276" s="7" t="s">
        <v>1982</v>
      </c>
      <c r="I276" s="9" t="s">
        <v>2095</v>
      </c>
      <c r="J276" s="7">
        <v>275</v>
      </c>
      <c r="K276" s="7" t="str">
        <f t="shared" si="1"/>
        <v>CCLFB.BENE_MBI_ID</v>
      </c>
      <c r="L276" s="7" t="str">
        <f>_xlfn.XLOOKUP("*'"&amp;K276&amp;"'*",Data_Dictionary[cclfMapping],Data_Dictionary[Field Name],,2)</f>
        <v>Medicare Beneficiary Identifier</v>
      </c>
      <c r="M276" s="7" t="str">
        <f>_xlfn.XLOOKUP("*'"&amp;K276&amp;"'*",Data_Dictionary[cclfMapping],Data_Dictionary[Field Name],,2)</f>
        <v>Medicare Beneficiary Identifier</v>
      </c>
      <c r="N276" s="7" t="str">
        <f>_xlfn.XLOOKUP("*'"&amp;K276&amp;"'*",Data_Dictionary[cclfMapping],Data_Dictionary[fhirPath],,2)</f>
        <v>Patient.identifier.where(system='http://hl7.org/fhir/sid/us-mbi').value</v>
      </c>
    </row>
    <row r="277" spans="1:14" ht="84">
      <c r="A277" s="7" t="s">
        <v>2479</v>
      </c>
      <c r="B277" s="8">
        <v>4</v>
      </c>
      <c r="C277" s="7" t="s">
        <v>1984</v>
      </c>
      <c r="D277" s="7" t="s">
        <v>1985</v>
      </c>
      <c r="E277" s="8">
        <v>35</v>
      </c>
      <c r="F277" s="8">
        <v>45</v>
      </c>
      <c r="G277" s="8">
        <v>11</v>
      </c>
      <c r="H277" s="7" t="s">
        <v>1982</v>
      </c>
      <c r="I277" s="9" t="s">
        <v>2135</v>
      </c>
      <c r="J277" s="7">
        <v>276</v>
      </c>
      <c r="K277" s="7" t="str">
        <f t="shared" si="1"/>
        <v>CCLFB.BENE_HIC_NUM</v>
      </c>
      <c r="L277" s="7" t="e">
        <f>_xlfn.XLOOKUP("*'"&amp;K277&amp;"'*",Data_Dictionary[cclfMapping],Data_Dictionary[Field Name],,2)</f>
        <v>#N/A</v>
      </c>
      <c r="M277" s="7" t="e">
        <f>_xlfn.XLOOKUP("*'"&amp;K277&amp;"'*",Data_Dictionary[cclfMapping],Data_Dictionary[Field Name],,2)</f>
        <v>#N/A</v>
      </c>
      <c r="N277" s="7" t="e">
        <f>_xlfn.XLOOKUP("*'"&amp;K277&amp;"'*",Data_Dictionary[cclfMapping],Data_Dictionary[fhirPath],,2)</f>
        <v>#N/A</v>
      </c>
    </row>
    <row r="278" spans="1:14" ht="60">
      <c r="A278" s="7" t="s">
        <v>2479</v>
      </c>
      <c r="B278" s="8">
        <v>5</v>
      </c>
      <c r="C278" s="7" t="s">
        <v>77</v>
      </c>
      <c r="D278" s="7" t="s">
        <v>73</v>
      </c>
      <c r="E278" s="8">
        <v>46</v>
      </c>
      <c r="F278" s="8">
        <v>47</v>
      </c>
      <c r="G278" s="8">
        <v>2</v>
      </c>
      <c r="H278" s="7" t="s">
        <v>1987</v>
      </c>
      <c r="I278" s="9" t="s">
        <v>2480</v>
      </c>
      <c r="J278" s="7">
        <v>277</v>
      </c>
      <c r="K278" s="7" t="str">
        <f t="shared" si="1"/>
        <v>CCLFB.CLM_TYPE_CD</v>
      </c>
      <c r="L278" s="7" t="str">
        <f>_xlfn.XLOOKUP("*'"&amp;K278&amp;"'*",Data_Dictionary[cclfMapping],Data_Dictionary[Field Name],,2)</f>
        <v>Claim Type Code</v>
      </c>
      <c r="M278" s="7" t="str">
        <f>_xlfn.XLOOKUP("*'"&amp;K278&amp;"'*",Data_Dictionary[cclfMapping],Data_Dictionary[Field Name],,2)</f>
        <v>Claim Type Code</v>
      </c>
      <c r="N278" s="7" t="str">
        <f>_xlfn.XLOOKUP("*'"&amp;K278&amp;"'*",Data_Dictionary[cclfMapping],Data_Dictionary[fhirPath],,2)</f>
        <v>ExplanationOfBenefit.type.coding.where(system = 'https://bluebutton.cms.gov/fhir/CodeSystem/CLM-TYPE-CD').code</v>
      </c>
    </row>
    <row r="279" spans="1:14" ht="72">
      <c r="A279" s="7" t="s">
        <v>2479</v>
      </c>
      <c r="B279" s="8">
        <v>6</v>
      </c>
      <c r="C279" s="7" t="s">
        <v>1577</v>
      </c>
      <c r="D279" s="7" t="s">
        <v>2408</v>
      </c>
      <c r="E279" s="8">
        <v>48</v>
      </c>
      <c r="F279" s="8">
        <v>48</v>
      </c>
      <c r="G279" s="8">
        <v>1</v>
      </c>
      <c r="H279" s="7" t="s">
        <v>1964</v>
      </c>
      <c r="I279" s="9" t="s">
        <v>2481</v>
      </c>
      <c r="J279" s="7">
        <v>278</v>
      </c>
      <c r="K279" s="7" t="str">
        <f t="shared" si="1"/>
        <v>CCLFB.CLM_LINE_NGACO_PBPMT_SW</v>
      </c>
      <c r="L279" s="7" t="str">
        <f>_xlfn.XLOOKUP("*'"&amp;K279&amp;"'*",Data_Dictionary[cclfMapping],Data_Dictionary[Field Name],,2)</f>
        <v>Claim Line NGACO PBPMT Switch</v>
      </c>
      <c r="M279" s="7" t="str">
        <f>_xlfn.XLOOKUP("*'"&amp;K279&amp;"'*",Data_Dictionary[cclfMapping],Data_Dictionary[Field Name],,2)</f>
        <v>Claim Line NGACO PBPMT Switch</v>
      </c>
      <c r="N279" s="7" t="str">
        <f>_xlfn.XLOOKUP("*'"&amp;K279&amp;"'*",Data_Dictionary[cclfMapping],Data_Dictionary[fhirPath],,2)</f>
        <v>ExplanationOfBenefit.supportingInfo.where(category.coding.where(system='https://bluebutton.cms.gov/fhir/CodeSystem/Supporting-Information').exists() and category.coding.where(code='CLM_LINE_NGACO_PBPMT_SW').exists()).value</v>
      </c>
    </row>
    <row r="280" spans="1:14" ht="72">
      <c r="A280" s="7" t="s">
        <v>2479</v>
      </c>
      <c r="B280" s="8">
        <v>7</v>
      </c>
      <c r="C280" s="7" t="s">
        <v>1583</v>
      </c>
      <c r="D280" s="7" t="s">
        <v>2410</v>
      </c>
      <c r="E280" s="8">
        <v>49</v>
      </c>
      <c r="F280" s="8">
        <v>49</v>
      </c>
      <c r="G280" s="8">
        <v>1</v>
      </c>
      <c r="H280" s="7" t="s">
        <v>1964</v>
      </c>
      <c r="I280" s="9" t="s">
        <v>2482</v>
      </c>
      <c r="J280" s="7">
        <v>279</v>
      </c>
      <c r="K280" s="7" t="str">
        <f t="shared" si="1"/>
        <v>CCLFB.CLM_LINE_NGACO_PDSCHRG_HCBS_SW</v>
      </c>
      <c r="L280" s="7" t="str">
        <f>_xlfn.XLOOKUP("*'"&amp;K280&amp;"'*",Data_Dictionary[cclfMapping],Data_Dictionary[Field Name],,2)</f>
        <v>Claim Line NGACO Post Discharge HCBS Switch</v>
      </c>
      <c r="M280" s="7" t="str">
        <f>_xlfn.XLOOKUP("*'"&amp;K280&amp;"'*",Data_Dictionary[cclfMapping],Data_Dictionary[Field Name],,2)</f>
        <v>Claim Line NGACO Post Discharge HCBS Switch</v>
      </c>
      <c r="N280" s="7" t="str">
        <f>_xlfn.XLOOKUP("*'"&amp;K280&amp;"'*",Data_Dictionary[cclfMapping],Data_Dictionary[fhirPath],,2)</f>
        <v>ExplanationOfBenefit.supportingInfo.where(category.coding.where(system='https://bluebutton.cms.gov/fhir/CodeSystem/Supporting-Information').exists() and category.coding.where(code='CLM_LINE_NGACO_PDSCHRG_HCBS_SW').exists()).value</v>
      </c>
    </row>
    <row r="281" spans="1:14" ht="72">
      <c r="A281" s="7" t="s">
        <v>2479</v>
      </c>
      <c r="B281" s="8">
        <v>8</v>
      </c>
      <c r="C281" s="7" t="s">
        <v>1589</v>
      </c>
      <c r="D281" s="9" t="s">
        <v>2412</v>
      </c>
      <c r="E281" s="8">
        <v>50</v>
      </c>
      <c r="F281" s="8">
        <v>50</v>
      </c>
      <c r="G281" s="8">
        <v>1</v>
      </c>
      <c r="H281" s="7" t="s">
        <v>1964</v>
      </c>
      <c r="I281" s="9" t="s">
        <v>2483</v>
      </c>
      <c r="J281" s="7">
        <v>280</v>
      </c>
      <c r="K281" s="7" t="str">
        <f t="shared" si="1"/>
        <v>CCLFB.CLM_LINE_NGACO_SNF_WVR_SW</v>
      </c>
      <c r="L281" s="7" t="str">
        <f>_xlfn.XLOOKUP("*'"&amp;K281&amp;"'*",Data_Dictionary[cclfMapping],Data_Dictionary[Field Name],,2)</f>
        <v>Claim Line NGACO SNF Waiver Switch</v>
      </c>
      <c r="M281" s="7" t="str">
        <f>_xlfn.XLOOKUP("*'"&amp;K281&amp;"'*",Data_Dictionary[cclfMapping],Data_Dictionary[Field Name],,2)</f>
        <v>Claim Line NGACO SNF Waiver Switch</v>
      </c>
      <c r="N281" s="7" t="str">
        <f>_xlfn.XLOOKUP("*'"&amp;K281&amp;"'*",Data_Dictionary[cclfMapping],Data_Dictionary[fhirPath],,2)</f>
        <v>ExplanationOfBenefit.supportingInfo.where(category.coding.where(system='https://bluebutton.cms.gov/fhir/CodeSystem/Supporting-Information').exists() and category.coding.where(code='CLM_LINE_NGACO_SNF_WVR_SW').exists()).value</v>
      </c>
    </row>
    <row r="282" spans="1:14" ht="72">
      <c r="A282" s="7" t="s">
        <v>2479</v>
      </c>
      <c r="B282" s="8">
        <v>9</v>
      </c>
      <c r="C282" s="7" t="s">
        <v>1595</v>
      </c>
      <c r="D282" s="7" t="s">
        <v>2414</v>
      </c>
      <c r="E282" s="8">
        <v>51</v>
      </c>
      <c r="F282" s="8">
        <v>51</v>
      </c>
      <c r="G282" s="8">
        <v>1</v>
      </c>
      <c r="H282" s="7" t="s">
        <v>1964</v>
      </c>
      <c r="I282" s="9" t="s">
        <v>2484</v>
      </c>
      <c r="J282" s="7">
        <v>281</v>
      </c>
      <c r="K282" s="7" t="str">
        <f t="shared" si="1"/>
        <v>CCLFB.CLM_LINE_NGACO_TLHLTH_SW</v>
      </c>
      <c r="L282" s="7" t="str">
        <f>_xlfn.XLOOKUP("*'"&amp;K282&amp;"'*",Data_Dictionary[cclfMapping],Data_Dictionary[Field Name],,2)</f>
        <v>Claim Line NGACO Telehealth Switch</v>
      </c>
      <c r="M282" s="7" t="str">
        <f>_xlfn.XLOOKUP("*'"&amp;K282&amp;"'*",Data_Dictionary[cclfMapping],Data_Dictionary[Field Name],,2)</f>
        <v>Claim Line NGACO Telehealth Switch</v>
      </c>
      <c r="N282" s="7" t="str">
        <f>_xlfn.XLOOKUP("*'"&amp;K282&amp;"'*",Data_Dictionary[cclfMapping],Data_Dictionary[fhirPath],,2)</f>
        <v>ExplanationOfBenefit.supportingInfo.where(category.coding.where(system='https://bluebutton.cms.gov/fhir/CodeSystem/Supporting-Information').exists() and category.coding.where(code='CLM_LINE_NGACO_TLHLTH_SW').exists()).value</v>
      </c>
    </row>
    <row r="283" spans="1:14" ht="72">
      <c r="A283" s="7" t="s">
        <v>2479</v>
      </c>
      <c r="B283" s="8">
        <v>10</v>
      </c>
      <c r="C283" s="7" t="s">
        <v>1601</v>
      </c>
      <c r="D283" s="7" t="s">
        <v>2416</v>
      </c>
      <c r="E283" s="8">
        <v>52</v>
      </c>
      <c r="F283" s="8">
        <v>52</v>
      </c>
      <c r="G283" s="8">
        <v>1</v>
      </c>
      <c r="H283" s="7" t="s">
        <v>1964</v>
      </c>
      <c r="I283" s="9" t="s">
        <v>2485</v>
      </c>
      <c r="J283" s="7">
        <v>282</v>
      </c>
      <c r="K283" s="7" t="str">
        <f t="shared" si="1"/>
        <v>CCLFB.CLM_LINE_NGACO_CPTATN_SW</v>
      </c>
      <c r="L283" s="7" t="str">
        <f>_xlfn.XLOOKUP("*'"&amp;K283&amp;"'*",Data_Dictionary[cclfMapping],Data_Dictionary[Field Name],,2)</f>
        <v>Claim Line NGACO Capitation Switch</v>
      </c>
      <c r="M283" s="7" t="str">
        <f>_xlfn.XLOOKUP("*'"&amp;K283&amp;"'*",Data_Dictionary[cclfMapping],Data_Dictionary[Field Name],,2)</f>
        <v>Claim Line NGACO Capitation Switch</v>
      </c>
      <c r="N283" s="7" t="str">
        <f>_xlfn.XLOOKUP("*'"&amp;K283&amp;"'*",Data_Dictionary[cclfMapping],Data_Dictionary[fhirPath],,2)</f>
        <v>ExplanationOfBenefit.supportingInfo.where(category.coding.where(system='https://bluebutton.cms.gov/fhir/CodeSystem/Supporting-Information').exists() and category.coding.where(code='CLM_LINE_NGACO_CPTATN_SW').exists()).value</v>
      </c>
    </row>
    <row r="284" spans="1:14" ht="72">
      <c r="A284" s="7" t="s">
        <v>2479</v>
      </c>
      <c r="B284" s="8">
        <v>11</v>
      </c>
      <c r="C284" s="7" t="s">
        <v>2418</v>
      </c>
      <c r="D284" s="7" t="s">
        <v>2419</v>
      </c>
      <c r="E284" s="8">
        <v>53</v>
      </c>
      <c r="F284" s="8">
        <v>54</v>
      </c>
      <c r="G284" s="8">
        <v>2</v>
      </c>
      <c r="H284" s="7" t="s">
        <v>2040</v>
      </c>
      <c r="I284" s="9" t="s">
        <v>2420</v>
      </c>
      <c r="J284" s="7">
        <v>283</v>
      </c>
      <c r="K284" s="7" t="str">
        <f t="shared" si="1"/>
        <v>CCLFB.CLM_DEMO_1ST_NUM</v>
      </c>
      <c r="L284" s="7" t="str">
        <f>_xlfn.XLOOKUP("*'"&amp;K284&amp;"'*",Data_Dictionary[cclfMapping],Data_Dictionary[Field Name],,2)</f>
        <v>Claim Line Benefit Enhancement 1 Code</v>
      </c>
      <c r="M284" s="7" t="str">
        <f>_xlfn.XLOOKUP("*'"&amp;K284&amp;"'*",Data_Dictionary[cclfMapping],Data_Dictionary[Field Name],,2)</f>
        <v>Claim Line Benefit Enhancement 1 Code</v>
      </c>
      <c r="N284" s="7" t="str">
        <f>_xlfn.XLOOKUP("*'"&amp;K284&amp;"'*",Data_Dictionary[cclfMapping],Data_Dictionary[fhirPath],,2)</f>
        <v>ExplanationOfBenefit.supportingInfo.where(category.coding.where(system='https://bluebutton.cms.gov/fhir/CodeSystem/Supporting-Information').exists() and category.coding.where(code='CLM_BNFT_ENHNCMT_CD').exists()).value</v>
      </c>
    </row>
    <row r="285" spans="1:14" ht="72">
      <c r="A285" s="7" t="s">
        <v>2479</v>
      </c>
      <c r="B285" s="8">
        <v>12</v>
      </c>
      <c r="C285" s="7" t="s">
        <v>2421</v>
      </c>
      <c r="D285" s="7" t="s">
        <v>2422</v>
      </c>
      <c r="E285" s="8">
        <v>55</v>
      </c>
      <c r="F285" s="8">
        <v>56</v>
      </c>
      <c r="G285" s="8">
        <v>2</v>
      </c>
      <c r="H285" s="7" t="s">
        <v>2040</v>
      </c>
      <c r="I285" s="9" t="s">
        <v>2423</v>
      </c>
      <c r="J285" s="7">
        <v>284</v>
      </c>
      <c r="K285" s="7" t="str">
        <f t="shared" si="1"/>
        <v>CCLFB.CLM_DEMO_2ND_NUM</v>
      </c>
      <c r="L285" s="7" t="str">
        <f>_xlfn.XLOOKUP("*'"&amp;K285&amp;"'*",Data_Dictionary[cclfMapping],Data_Dictionary[Field Name],,2)</f>
        <v>Claim Line Benefit Enhancement 2 Code</v>
      </c>
      <c r="M285" s="7" t="str">
        <f>_xlfn.XLOOKUP("*'"&amp;K285&amp;"'*",Data_Dictionary[cclfMapping],Data_Dictionary[Field Name],,2)</f>
        <v>Claim Line Benefit Enhancement 2 Code</v>
      </c>
      <c r="N285" s="7" t="str">
        <f>_xlfn.XLOOKUP("*'"&amp;K285&amp;"'*",Data_Dictionary[cclfMapping],Data_Dictionary[fhirPath],,2)</f>
        <v>ExplanationOfBenefit.supportingInfo.where(category.coding.where(system='https://bluebutton.cms.gov/fhir/CodeSystem/Supporting-Information').exists() and category.coding.where(code='CLM_BNFT_ENHNCMT_CD').exists()).value</v>
      </c>
    </row>
    <row r="286" spans="1:14" ht="72">
      <c r="A286" s="7" t="s">
        <v>2479</v>
      </c>
      <c r="B286" s="8">
        <v>13</v>
      </c>
      <c r="C286" s="7" t="s">
        <v>2424</v>
      </c>
      <c r="D286" s="7" t="s">
        <v>2425</v>
      </c>
      <c r="E286" s="8">
        <v>57</v>
      </c>
      <c r="F286" s="8">
        <v>58</v>
      </c>
      <c r="G286" s="8">
        <v>2</v>
      </c>
      <c r="H286" s="7" t="s">
        <v>2040</v>
      </c>
      <c r="I286" s="9" t="s">
        <v>2426</v>
      </c>
      <c r="J286" s="7">
        <v>285</v>
      </c>
      <c r="K286" s="7" t="str">
        <f t="shared" si="1"/>
        <v>CCLFB.CLM_DEMO_3RD_NUM</v>
      </c>
      <c r="L286" s="7" t="str">
        <f>_xlfn.XLOOKUP("*'"&amp;K286&amp;"'*",Data_Dictionary[cclfMapping],Data_Dictionary[Field Name],,2)</f>
        <v>Claim Line Benefit Enhancement 3 Code</v>
      </c>
      <c r="M286" s="7" t="str">
        <f>_xlfn.XLOOKUP("*'"&amp;K286&amp;"'*",Data_Dictionary[cclfMapping],Data_Dictionary[Field Name],,2)</f>
        <v>Claim Line Benefit Enhancement 3 Code</v>
      </c>
      <c r="N286" s="7" t="str">
        <f>_xlfn.XLOOKUP("*'"&amp;K286&amp;"'*",Data_Dictionary[cclfMapping],Data_Dictionary[fhirPath],,2)</f>
        <v>ExplanationOfBenefit.supportingInfo.where(category.coding.where(system='https://bluebutton.cms.gov/fhir/CodeSystem/Supporting-Information').exists() and category.coding.where(code='CLM_BNFT_ENHNCMT_CD').exists()).value</v>
      </c>
    </row>
    <row r="287" spans="1:14" ht="72">
      <c r="A287" s="7" t="s">
        <v>2479</v>
      </c>
      <c r="B287" s="8">
        <v>14</v>
      </c>
      <c r="C287" s="7" t="s">
        <v>2427</v>
      </c>
      <c r="D287" s="7" t="s">
        <v>2428</v>
      </c>
      <c r="E287" s="8">
        <v>59</v>
      </c>
      <c r="F287" s="8">
        <v>60</v>
      </c>
      <c r="G287" s="8">
        <v>2</v>
      </c>
      <c r="H287" s="7" t="s">
        <v>2040</v>
      </c>
      <c r="I287" s="9" t="s">
        <v>2429</v>
      </c>
      <c r="J287" s="7">
        <v>286</v>
      </c>
      <c r="K287" s="7" t="str">
        <f t="shared" si="1"/>
        <v>CCLFB.CLM_DEMO_4TH_NUM</v>
      </c>
      <c r="L287" s="7" t="str">
        <f>_xlfn.XLOOKUP("*'"&amp;K287&amp;"'*",Data_Dictionary[cclfMapping],Data_Dictionary[Field Name],,2)</f>
        <v>Claim Line Benefit Enhancement 4 Code</v>
      </c>
      <c r="M287" s="7" t="str">
        <f>_xlfn.XLOOKUP("*'"&amp;K287&amp;"'*",Data_Dictionary[cclfMapping],Data_Dictionary[Field Name],,2)</f>
        <v>Claim Line Benefit Enhancement 4 Code</v>
      </c>
      <c r="N287" s="7" t="str">
        <f>_xlfn.XLOOKUP("*'"&amp;K287&amp;"'*",Data_Dictionary[cclfMapping],Data_Dictionary[fhirPath],,2)</f>
        <v>ExplanationOfBenefit.supportingInfo.where(category.coding.where(system='https://bluebutton.cms.gov/fhir/CodeSystem/Supporting-Information').exists() and category.coding.where(code='CLM_BNFT_ENHNCMT_CD').exists()).value</v>
      </c>
    </row>
    <row r="288" spans="1:14" ht="72">
      <c r="A288" s="7" t="s">
        <v>2479</v>
      </c>
      <c r="B288" s="8">
        <v>15</v>
      </c>
      <c r="C288" s="7" t="s">
        <v>2430</v>
      </c>
      <c r="D288" s="7" t="s">
        <v>2431</v>
      </c>
      <c r="E288" s="8">
        <v>61</v>
      </c>
      <c r="F288" s="8">
        <v>62</v>
      </c>
      <c r="G288" s="8">
        <v>2</v>
      </c>
      <c r="H288" s="7" t="s">
        <v>2040</v>
      </c>
      <c r="I288" s="9" t="s">
        <v>2432</v>
      </c>
      <c r="J288" s="7">
        <v>287</v>
      </c>
      <c r="K288" s="7" t="str">
        <f t="shared" si="1"/>
        <v>CCLFB.CLM_DEMO_5TH_NUM</v>
      </c>
      <c r="L288" s="7" t="str">
        <f>_xlfn.XLOOKUP("*'"&amp;K288&amp;"'*",Data_Dictionary[cclfMapping],Data_Dictionary[Field Name],,2)</f>
        <v>Claim Line Benefit Enhancement 5 Code</v>
      </c>
      <c r="M288" s="7" t="str">
        <f>_xlfn.XLOOKUP("*'"&amp;K288&amp;"'*",Data_Dictionary[cclfMapping],Data_Dictionary[Field Name],,2)</f>
        <v>Claim Line Benefit Enhancement 5 Code</v>
      </c>
      <c r="N288" s="7" t="str">
        <f>_xlfn.XLOOKUP("*'"&amp;K288&amp;"'*",Data_Dictionary[cclfMapping],Data_Dictionary[fhirPath],,2)</f>
        <v>ExplanationOfBenefit.supportingInfo.where(category.coding.where(system='https://bluebutton.cms.gov/fhir/CodeSystem/Supporting-Information').exists() and category.coding.where(code='CLM_BNFT_ENHNCMT_CD').exists()).value</v>
      </c>
    </row>
    <row r="289" spans="1:14" ht="84">
      <c r="A289" s="7" t="s">
        <v>2479</v>
      </c>
      <c r="B289" s="8">
        <v>16</v>
      </c>
      <c r="C289" s="7" t="s">
        <v>2433</v>
      </c>
      <c r="D289" s="9" t="s">
        <v>2434</v>
      </c>
      <c r="E289" s="8">
        <v>63</v>
      </c>
      <c r="F289" s="8">
        <v>77</v>
      </c>
      <c r="G289" s="8">
        <v>15</v>
      </c>
      <c r="H289" s="7" t="s">
        <v>2052</v>
      </c>
      <c r="I289" s="9" t="s">
        <v>2486</v>
      </c>
      <c r="J289" s="7">
        <v>288</v>
      </c>
      <c r="K289" s="7" t="str">
        <f t="shared" si="1"/>
        <v>CCLFB.CLM_PBP_INCLSN_AMT</v>
      </c>
      <c r="L289" s="7" t="e">
        <f>_xlfn.XLOOKUP("*'"&amp;K289&amp;"'*",Data_Dictionary[cclfMapping],Data_Dictionary[Field Name],,2)</f>
        <v>#N/A</v>
      </c>
      <c r="M289" s="7" t="e">
        <f>_xlfn.XLOOKUP("*'"&amp;K289&amp;"'*",Data_Dictionary[cclfMapping],Data_Dictionary[Field Name],,2)</f>
        <v>#N/A</v>
      </c>
      <c r="N289" s="7" t="e">
        <f>_xlfn.XLOOKUP("*'"&amp;K289&amp;"'*",Data_Dictionary[cclfMapping],Data_Dictionary[fhirPath],,2)</f>
        <v>#N/A</v>
      </c>
    </row>
    <row r="290" spans="1:14" ht="84">
      <c r="A290" s="7" t="s">
        <v>2479</v>
      </c>
      <c r="B290" s="8">
        <v>17</v>
      </c>
      <c r="C290" s="7" t="s">
        <v>2437</v>
      </c>
      <c r="D290" s="9" t="s">
        <v>2438</v>
      </c>
      <c r="E290" s="8">
        <v>78</v>
      </c>
      <c r="F290" s="8">
        <v>92</v>
      </c>
      <c r="G290" s="8">
        <v>15</v>
      </c>
      <c r="H290" s="7" t="s">
        <v>2052</v>
      </c>
      <c r="I290" s="9" t="s">
        <v>2487</v>
      </c>
      <c r="J290" s="7">
        <v>289</v>
      </c>
      <c r="K290" s="7" t="str">
        <f t="shared" si="1"/>
        <v>CCLFB.CLM_PBP_RDCTN_AMT</v>
      </c>
      <c r="L290" s="7" t="e">
        <f>_xlfn.XLOOKUP("*'"&amp;K290&amp;"'*",Data_Dictionary[cclfMapping],Data_Dictionary[Field Name],,2)</f>
        <v>#N/A</v>
      </c>
      <c r="M290" s="7" t="e">
        <f>_xlfn.XLOOKUP("*'"&amp;K290&amp;"'*",Data_Dictionary[cclfMapping],Data_Dictionary[Field Name],,2)</f>
        <v>#N/A</v>
      </c>
      <c r="N290" s="7" t="e">
        <f>_xlfn.XLOOKUP("*'"&amp;K290&amp;"'*",Data_Dictionary[cclfMapping],Data_Dictionary[fhirPath],,2)</f>
        <v>#N/A</v>
      </c>
    </row>
    <row r="291" spans="1:14" ht="72">
      <c r="A291" s="7" t="s">
        <v>2479</v>
      </c>
      <c r="B291" s="8">
        <v>18</v>
      </c>
      <c r="C291" s="7" t="s">
        <v>2440</v>
      </c>
      <c r="D291" s="7" t="s">
        <v>2441</v>
      </c>
      <c r="E291" s="8">
        <v>93</v>
      </c>
      <c r="F291" s="8">
        <v>93</v>
      </c>
      <c r="G291" s="8">
        <v>1</v>
      </c>
      <c r="H291" s="7" t="s">
        <v>1964</v>
      </c>
      <c r="I291" s="9" t="s">
        <v>2488</v>
      </c>
      <c r="J291" s="7">
        <v>290</v>
      </c>
      <c r="K291" s="7" t="str">
        <f t="shared" si="1"/>
        <v>CCLFB.CLM_NGACO_CMG_WVR_SW</v>
      </c>
      <c r="L291" s="7" t="str">
        <f>_xlfn.XLOOKUP("*'"&amp;K291&amp;"'*",Data_Dictionary[cclfMapping],Data_Dictionary[Field Name],,2)</f>
        <v>Claim Line ACO Care Management HCBS Switch</v>
      </c>
      <c r="M291" s="7" t="str">
        <f>_xlfn.XLOOKUP("*'"&amp;K291&amp;"'*",Data_Dictionary[cclfMapping],Data_Dictionary[Field Name],,2)</f>
        <v>Claim Line ACO Care Management HCBS Switch</v>
      </c>
      <c r="N291" s="7" t="str">
        <f>_xlfn.XLOOKUP("*'"&amp;K291&amp;"'*",Data_Dictionary[cclfMapping],Data_Dictionary[fhirPath],,2)</f>
        <v>ExplanationOfBenefit.supportingInfo.where(category.coding.where(system='https://bluebutton.cms.gov/fhir/CodeSystem/Supporting-Information').exists() and category.coding.where(code='CLM_LINE_ACO_CARE_MGMT_HCBS_SW').exists()).value</v>
      </c>
    </row>
    <row r="292" spans="1:14" ht="36">
      <c r="A292" s="7" t="s">
        <v>2479</v>
      </c>
      <c r="B292" s="8">
        <v>19</v>
      </c>
      <c r="C292" s="7" t="s">
        <v>460</v>
      </c>
      <c r="D292" s="7" t="s">
        <v>2455</v>
      </c>
      <c r="E292" s="8">
        <v>94</v>
      </c>
      <c r="F292" s="8">
        <v>112</v>
      </c>
      <c r="G292" s="8">
        <v>19</v>
      </c>
      <c r="H292" s="7" t="s">
        <v>2435</v>
      </c>
      <c r="I292" s="7" t="s">
        <v>2489</v>
      </c>
      <c r="J292" s="7">
        <v>291</v>
      </c>
      <c r="K292" s="7" t="str">
        <f t="shared" si="1"/>
        <v>CCLFB.CLM_MDCR_DDCTBL_AMT</v>
      </c>
      <c r="L292" s="7" t="str">
        <f>_xlfn.XLOOKUP("*'"&amp;K292&amp;"'*",Data_Dictionary[cclfMapping],Data_Dictionary[Field Name],,2)</f>
        <v>Inpatient/Outpatient Total Deduction Amount</v>
      </c>
      <c r="M292" s="7" t="str">
        <f>_xlfn.XLOOKUP("*'"&amp;K292&amp;"'*",Data_Dictionary[cclfMapping],Data_Dictionary[Field Name],,2)</f>
        <v>Inpatient/Outpatient Total Deduction Amount</v>
      </c>
      <c r="N292" s="7" t="str">
        <f>_xlfn.XLOOKUP("*'"&amp;K292&amp;"'*",Data_Dictionary[cclfMapping],Data_Dictionary[fhirPath],,2)</f>
        <v>ExplanationOfBenefit.total.where(category.coding.where(system='http://terminology.hl7.org/CodeSystem/adjudication' and code='deductible').exists() and category.coding.where(system='https://bluebutton.cms.gov/fhir/CodeSystem/Adjudication' and code='CLM_MDCR_DDCTBL_AMT').exists()).amount.value</v>
      </c>
    </row>
    <row r="293" spans="1:14" ht="48">
      <c r="A293" s="7" t="s">
        <v>2479</v>
      </c>
      <c r="B293" s="8">
        <v>20</v>
      </c>
      <c r="C293" s="7" t="s">
        <v>2469</v>
      </c>
      <c r="D293" s="7" t="s">
        <v>2490</v>
      </c>
      <c r="E293" s="8">
        <v>113</v>
      </c>
      <c r="F293" s="8">
        <v>127</v>
      </c>
      <c r="G293" s="8">
        <v>15</v>
      </c>
      <c r="H293" s="7" t="s">
        <v>2052</v>
      </c>
      <c r="I293" s="7" t="s">
        <v>2491</v>
      </c>
      <c r="J293" s="7">
        <v>292</v>
      </c>
      <c r="K293" s="7" t="str">
        <f t="shared" si="1"/>
        <v>CCLFB.CLM_SQSTRTN_RDCTN_AMT</v>
      </c>
      <c r="L293" s="7" t="e">
        <f>_xlfn.XLOOKUP("*'"&amp;K293&amp;"'*",Data_Dictionary[cclfMapping],Data_Dictionary[Field Name],,2)</f>
        <v>#N/A</v>
      </c>
      <c r="M293" s="7" t="e">
        <f>_xlfn.XLOOKUP("*'"&amp;K293&amp;"'*",Data_Dictionary[cclfMapping],Data_Dictionary[Field Name],,2)</f>
        <v>#N/A</v>
      </c>
      <c r="N293" s="7" t="e">
        <f>_xlfn.XLOOKUP("*'"&amp;K293&amp;"'*",Data_Dictionary[cclfMapping],Data_Dictionary[fhirPath],,2)</f>
        <v>#N/A</v>
      </c>
    </row>
    <row r="294" spans="1:14" ht="36">
      <c r="A294" s="7" t="s">
        <v>2479</v>
      </c>
      <c r="B294" s="8">
        <v>21</v>
      </c>
      <c r="C294" s="7" t="s">
        <v>1298</v>
      </c>
      <c r="D294" s="7" t="s">
        <v>2492</v>
      </c>
      <c r="E294" s="8">
        <v>128</v>
      </c>
      <c r="F294" s="8">
        <v>128</v>
      </c>
      <c r="G294" s="8">
        <v>1</v>
      </c>
      <c r="H294" s="7" t="s">
        <v>1964</v>
      </c>
      <c r="I294" s="7" t="s">
        <v>2493</v>
      </c>
      <c r="J294" s="7">
        <v>293</v>
      </c>
      <c r="K294" s="7" t="str">
        <f t="shared" si="1"/>
        <v>CCLFB.CLM_LINE_CARR_HPSA_SCRCTY_CD</v>
      </c>
      <c r="L294" s="7" t="str">
        <f>_xlfn.XLOOKUP("*'"&amp;K294&amp;"'*",Data_Dictionary[cclfMapping],Data_Dictionary[Field Name],,2)</f>
        <v>HPSA Scarcity Code</v>
      </c>
      <c r="M294" s="7" t="str">
        <f>_xlfn.XLOOKUP("*'"&amp;K294&amp;"'*",Data_Dictionary[cclfMapping],Data_Dictionary[Field Name],,2)</f>
        <v>HPSA Scarcity Code</v>
      </c>
      <c r="N294" s="7" t="str">
        <f>_xlfn.XLOOKUP("*'"&amp;K294&amp;"'*",Data_Dictionary[cclfMapping],Data_Dictionary[fhirPath],,2)</f>
        <v>ExplanationOfBenefit.item.extension.where(url='https://bluebutton.cms.gov/fhir/StructureDefinition/CLM-LINE-CARR-HPSA-SCRCTY-CD').value.code</v>
      </c>
    </row>
  </sheetData>
  <dataValidations count="1">
    <dataValidation type="custom" allowBlank="1" showDropDown="1" sqref="B2:B294 E2:G294" xr:uid="{00000000-0002-0000-0200-000000000000}">
      <formula1>AND(ISNUMBER(B2),(NOT(OR(NOT(ISERROR(DATEVALUE(B2))), AND(ISNUMBER(B2), LEFT(CELL("format", B2))="D")))))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860E0-8798-4616-9A35-E94A4FCB8116}">
  <dimension ref="A1:D54"/>
  <sheetViews>
    <sheetView workbookViewId="0">
      <pane ySplit="1" topLeftCell="A2" activePane="bottomLeft" state="frozen"/>
      <selection pane="bottomLeft" activeCell="D53" sqref="D53"/>
    </sheetView>
  </sheetViews>
  <sheetFormatPr defaultRowHeight="12.75"/>
  <cols>
    <col min="1" max="2" width="12.140625" bestFit="1" customWidth="1"/>
    <col min="3" max="3" width="28.85546875" bestFit="1" customWidth="1"/>
    <col min="4" max="4" width="66.7109375" style="1" customWidth="1"/>
  </cols>
  <sheetData>
    <row r="1" spans="1:4">
      <c r="A1" s="2" t="s">
        <v>1945</v>
      </c>
      <c r="B1" s="2" t="s">
        <v>1946</v>
      </c>
      <c r="C1" s="2" t="s">
        <v>1947</v>
      </c>
      <c r="D1" s="3" t="s">
        <v>1952</v>
      </c>
    </row>
    <row r="2" spans="1:4">
      <c r="A2" t="str" cm="1">
        <f t="array" ref="A2:D54">_xlfn._xlws.FILTER(_xlfn.HSTACK(CCLF_BCDA_v3_Mapping[CCLF File], CCLF_BCDA_v3_Mapping[Element '#], CCLF_BCDA_v3_Mapping[Field Label], CCLF_BCDA_v3_Mapping[Field Description]), ISNA(CCLF_BCDA_v3_Mapping[BFD Field Name]), "No results")</f>
        <v>CCLF0</v>
      </c>
      <c r="B2" s="23">
        <v>1</v>
      </c>
      <c r="C2" s="23" t="str">
        <v>File Number Label</v>
      </c>
      <c r="D2" s="24" t="str">
        <v>“File Number”
This field will be left-justified and right-padded with spaces.</v>
      </c>
    </row>
    <row r="3" spans="1:4">
      <c r="A3" s="25" t="str">
        <v>CCLF0</v>
      </c>
      <c r="B3" s="25">
        <v>2</v>
      </c>
      <c r="C3" s="25" t="str">
        <v>Delimiter</v>
      </c>
      <c r="D3" s="26" t="str">
        <v>“|”</v>
      </c>
    </row>
    <row r="4" spans="1:4">
      <c r="A4" s="23" t="str">
        <v>CCLF0</v>
      </c>
      <c r="B4" s="23">
        <v>3</v>
      </c>
      <c r="C4" s="23" t="str">
        <v>File Description Label</v>
      </c>
      <c r="D4" s="24" t="str">
        <v>“File Description”
This field will be left-justified and right-padded with spaces.</v>
      </c>
    </row>
    <row r="5" spans="1:4">
      <c r="A5" s="25" t="str">
        <v>CCLF0</v>
      </c>
      <c r="B5" s="25">
        <v>4</v>
      </c>
      <c r="C5" s="25" t="str">
        <v>Delimiter</v>
      </c>
      <c r="D5" s="26" t="str">
        <v>“|”</v>
      </c>
    </row>
    <row r="6" spans="1:4">
      <c r="A6" s="23" t="str">
        <v>CCLF0</v>
      </c>
      <c r="B6" s="23">
        <v>5</v>
      </c>
      <c r="C6" s="23" t="str">
        <v>Total Records Count Label</v>
      </c>
      <c r="D6" s="24" t="str">
        <v>“Total Records Count”
This field will be left-justified and right-padded with spaces.</v>
      </c>
    </row>
    <row r="7" spans="1:4">
      <c r="A7" s="25" t="str">
        <v>CCLF0</v>
      </c>
      <c r="B7" s="25">
        <v>6</v>
      </c>
      <c r="C7" s="25" t="str">
        <v>Delimiter</v>
      </c>
      <c r="D7" s="26" t="str">
        <v>“|”</v>
      </c>
    </row>
    <row r="8" spans="1:4">
      <c r="A8" s="23" t="str">
        <v>CCLF0</v>
      </c>
      <c r="B8" s="23">
        <v>7</v>
      </c>
      <c r="C8" s="23" t="str">
        <v>Record Length Label</v>
      </c>
      <c r="D8" s="24" t="str">
        <v>“Record Length”
This field will be left-justified and right-padded with spaces.</v>
      </c>
    </row>
    <row r="9" spans="1:4">
      <c r="A9" s="25" t="str">
        <v>CCLF1</v>
      </c>
      <c r="B9" s="25">
        <v>4</v>
      </c>
      <c r="C9" s="25" t="str">
        <v>BENE_HIC_NUM</v>
      </c>
      <c r="D9" s="26" t="str">
        <v>Legacy Beneficiary HICN field I
Note: 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v>
      </c>
    </row>
    <row r="10" spans="1:4">
      <c r="A10" s="23" t="str">
        <v>CCLF1</v>
      </c>
      <c r="B10" s="23">
        <v>26</v>
      </c>
      <c r="C10" s="23" t="str">
        <v>BENE_EQTBL_BIC_HICN_NUM</v>
      </c>
      <c r="D10" s="24" t="str">
        <v>Legacy Beneficiary Equitable BIC HICN Number.
Note: To comply with MACRA of 2015, after the end of the New Medicare Card Transition Period in December 2019, MBI will be accepted on claims, and the HICN value/ Beneficiary Equitable BIC HICN Number will no longer be displayed. The Beneficiary Equitable BIC HICN Number will be blank in CCLFs generated effective January 1, 2020, onwards.</v>
      </c>
    </row>
    <row r="11" spans="1:4">
      <c r="A11" s="25" t="str">
        <v>CCLF2</v>
      </c>
      <c r="B11" s="25">
        <v>4</v>
      </c>
      <c r="C11" s="25" t="str">
        <v>BENE_HIC_NUM</v>
      </c>
      <c r="D11" s="26" t="str">
        <v>Legacy Beneficiary HICN field.
Note: 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v>
      </c>
    </row>
    <row r="12" spans="1:4">
      <c r="A12" s="23" t="str">
        <v>CCLF2</v>
      </c>
      <c r="B12" s="23">
        <v>11</v>
      </c>
      <c r="C12" s="23" t="str">
        <v>BENE_EQTBL_BIC_HICN_NUM</v>
      </c>
      <c r="D12" s="24" t="str">
        <v>Legacy Beneficiary Equitable BIC HICN Number.
Note: To comply with MACRA of 2015, after the end of the New Medicare Card Transition Period in December 2019, only the MBI will be accepted on claims, and the HICN value/ Beneficiary Equitable BIC HICN Number will no longer be displayed. The Beneficiary Equitable BIC HICN Number will be blank in CCLFs generated effective January 1, 2020, onwards.</v>
      </c>
    </row>
    <row r="13" spans="1:4">
      <c r="A13" s="25" t="str">
        <v>CCLF3</v>
      </c>
      <c r="B13" s="25">
        <v>3</v>
      </c>
      <c r="C13" s="25" t="str">
        <v>BENE_HIC_NUM</v>
      </c>
      <c r="D13" s="26" t="str">
        <v>Legacy Beneficiary HICN field.
Note: 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v>
      </c>
    </row>
    <row r="14" spans="1:4">
      <c r="A14" s="23" t="str">
        <v>CCLF3</v>
      </c>
      <c r="B14" s="23">
        <v>5</v>
      </c>
      <c r="C14" s="23" t="str">
        <v>CLM_VAL_SQNC_NUM</v>
      </c>
      <c r="D14" s="24" t="str">
        <v>An arbitrary sequential number that uniquely identifies a procedure code record within the claim.</v>
      </c>
    </row>
    <row r="15" spans="1:4">
      <c r="A15" s="25" t="str">
        <v>CCLF3</v>
      </c>
      <c r="B15" s="25">
        <v>8</v>
      </c>
      <c r="C15" s="25" t="str">
        <v>BENE_EQTBL_BIC_HICN_NUM</v>
      </c>
      <c r="D15" s="26" t="str">
        <v>Legacy Beneficiary Equitable BIC HICN Number.
Note: To comply with MACRA of 2015, after the end of the New Medicare Card Transition Period in December 2019, only the MBI will be accepted on claims, and the HICN value/ Beneficiary Equitable BIC HICN Number will no longer be displayed. The Beneficiary Equitable BIC HICN Number will be blank in CCLFs generated effective January 1, 2020, onwards.</v>
      </c>
    </row>
    <row r="16" spans="1:4">
      <c r="A16" s="23" t="str">
        <v>CCLF4</v>
      </c>
      <c r="B16" s="23">
        <v>3</v>
      </c>
      <c r="C16" s="23" t="str">
        <v>BENE_HIC_NUM</v>
      </c>
      <c r="D16" s="24" t="str">
        <v>Legacy Beneficiary HICN field.
Note: 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v>
      </c>
    </row>
    <row r="17" spans="1:4">
      <c r="A17" s="25" t="str">
        <v>CCLF4</v>
      </c>
      <c r="B17" s="25">
        <v>6</v>
      </c>
      <c r="C17" s="25" t="str">
        <v>CLM_VAL_SQNC_NUM</v>
      </c>
      <c r="D17" s="26" t="str">
        <v>An arbitrary sequential number that uniquely identifies a procedure code record within the claim.</v>
      </c>
    </row>
    <row r="18" spans="1:4">
      <c r="A18" s="23" t="str">
        <v>CCLF4</v>
      </c>
      <c r="B18" s="23">
        <v>8</v>
      </c>
      <c r="C18" s="23" t="str">
        <v>BENE_EQTBL_BIC_HICN_NUM</v>
      </c>
      <c r="D18" s="24" t="str">
        <v>Legacy Beneficiary Equitable BIC HICN Number.
Note: To comply with MACRA of 2015, after the end of the New Medicare Card Transition Period in December 2019, only the MBI will be accepted on claims and the HICN value/ Beneficiary Equitable BIC HICN Number will no longer be displayed. The Beneficiary Equitable BIC HICN Number will be blank effective January 1, 2020.</v>
      </c>
    </row>
    <row r="19" spans="1:4">
      <c r="A19" s="25" t="str">
        <v>CCLF5</v>
      </c>
      <c r="B19" s="25">
        <v>4</v>
      </c>
      <c r="C19" s="25" t="str">
        <v>BENE_HIC_NUM</v>
      </c>
      <c r="D19" s="26" t="str">
        <v>Legacy Beneficiary HICN field.
Note: To comply with MACRA of 2015, after the end of the New Medicare Card Transition Period in December 2019, only the MBI will be accepted on claims, and the HICN value will no longer be displayed. The HICN field will be blank effective January 1, 2020.</v>
      </c>
    </row>
    <row r="20" spans="1:4">
      <c r="A20" s="23" t="str">
        <v>CCLF5</v>
      </c>
      <c r="B20" s="23">
        <v>8</v>
      </c>
      <c r="C20" s="23" t="str">
        <v>RNDRG_PRVDR_TYPE_CD</v>
      </c>
      <c r="D20" s="24" t="str">
        <v>Indicates the type of provider who provided the service associated with this line item on the claim.
Provider Type Code include:
0 = Clinics, groups, associations, partnerships, or other entities
1 = Physicians or suppliers reporting as solo practitioners
2 = Suppliers (other than sole proprietorship)
3 = Institutional provider
4 = Independent laboratories
5 = Clinics (multiple specialties)
6 = Groups (single specialty)
7 = Other entities
8 = Family Practice
UI = UPIN Identification N2 = National Council for Prescription Drug Programs
D = National Supplier Clearinghouse
BP = PIN Individual
BG = PIN Group
A = Online Survey, Certification and Reporting</v>
      </c>
    </row>
    <row r="21" spans="1:4">
      <c r="A21" s="25" t="str">
        <v>CCLF5</v>
      </c>
      <c r="B21" s="25">
        <v>27</v>
      </c>
      <c r="C21" s="25" t="str">
        <v>BENE_EQTBL_BIC_HICN_NUM</v>
      </c>
      <c r="D21" s="26" t="str">
        <v>Legacy Beneficiary Equitable BIC HICN Number.
Note: To comply with MACRA of 2015, after the end of the New Medicare Card Transition Period in December 2019, only the MBI will be accepted on claims, and the HICN value/ Beneficiary Equitable BIC HICN Number will no longer be displayed. The Beneficiary Equitable BIC HICN Number will be blank effective January 1, 2020.</v>
      </c>
    </row>
    <row r="22" spans="1:4">
      <c r="A22" s="23" t="str">
        <v>CCLF5</v>
      </c>
      <c r="B22" s="23">
        <v>49</v>
      </c>
      <c r="C22" s="23" t="str">
        <v>HCPCS_BETOS_CD</v>
      </c>
      <c r="D22" s="24" t="str">
        <v>A code representing a clinical category. The Berenson-Eggers Type of Service (BETOS) code.</v>
      </c>
    </row>
    <row r="23" spans="1:4">
      <c r="A23" s="25" t="str">
        <v>CCLF6</v>
      </c>
      <c r="B23" s="25">
        <v>4</v>
      </c>
      <c r="C23" s="25" t="str">
        <v>BENE_HIC_NUM</v>
      </c>
      <c r="D23" s="26" t="str">
        <v>Legacy Beneficiary HICN field.
Note: 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v>
      </c>
    </row>
    <row r="24" spans="1:4">
      <c r="A24" s="23" t="str">
        <v>CCLF6</v>
      </c>
      <c r="B24" s="23">
        <v>23</v>
      </c>
      <c r="C24" s="23" t="str">
        <v>BENE_EQTBL_BIC_HICN_NUM</v>
      </c>
      <c r="D24" s="24" t="str">
        <v>Legacy Beneficiary Equitable BIC HICN Number.
Note: To comply with MACRA of 2015, after the end of the New Medicare Card Transition Period in December 2019, only the MBI will be accepted on claims, and the HICN value/ Beneficiary Equitable BIC HICN Number will no longer be displayed. The Beneficiary Equitable BIC HICN Number will be blank in CCLFs generated effective January 1, 2020, onwards.</v>
      </c>
    </row>
    <row r="25" spans="1:4">
      <c r="A25" s="25" t="str">
        <v>CCLF7</v>
      </c>
      <c r="B25" s="25">
        <v>3</v>
      </c>
      <c r="C25" s="25" t="str">
        <v>BENE_HIC_NUM</v>
      </c>
      <c r="D25" s="26" t="str">
        <v>Legacy Beneficiary HICN field.
Note: 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v>
      </c>
    </row>
    <row r="26" spans="1:4">
      <c r="A26" s="23" t="str">
        <v>CCLF7</v>
      </c>
      <c r="B26" s="23">
        <v>12</v>
      </c>
      <c r="C26" s="23" t="str">
        <v>CLM_LINE_DAYS_SUPLY_QTY</v>
      </c>
      <c r="D26" s="24" t="str">
        <v>The number of days the supply of medication dispensed by the pharmacy will cover.</v>
      </c>
    </row>
    <row r="27" spans="1:4">
      <c r="A27" s="25" t="str">
        <v>CCLF8</v>
      </c>
      <c r="B27" s="25">
        <v>2</v>
      </c>
      <c r="C27" s="25" t="str">
        <v>BENE_HIC_NUM</v>
      </c>
      <c r="D27" s="26" t="str">
        <v>Legacy Beneficiary HICN field.
Note: 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v>
      </c>
    </row>
    <row r="28" spans="1:4">
      <c r="A28" s="23" t="str">
        <v>CCLF8</v>
      </c>
      <c r="B28" s="23">
        <v>3</v>
      </c>
      <c r="C28" s="23" t="str">
        <v>BENE_FIPS_STATE_CD</v>
      </c>
      <c r="D28" s="24" t="str">
        <v>Identifies the state where the beneficiary receiving services resides. I H</v>
      </c>
    </row>
    <row r="29" spans="1:4">
      <c r="A29" s="25" t="str">
        <v>CCLF8</v>
      </c>
      <c r="B29" s="25">
        <v>4</v>
      </c>
      <c r="C29" s="25" t="str">
        <v>BENE_FIPS_CNTY_CD</v>
      </c>
      <c r="D29" s="26" t="str">
        <v>Identifies the county where the beneficiary receiving services resides. I H</v>
      </c>
    </row>
    <row r="30" spans="1:4">
      <c r="A30" s="23" t="str">
        <v>CCLF8</v>
      </c>
      <c r="B30" s="23">
        <v>5</v>
      </c>
      <c r="C30" s="23" t="str">
        <v>BENE_ZIP_CD</v>
      </c>
      <c r="D30" s="24" t="str">
        <v>The beneficiary’s ZIP code as indicated in their Medicare enrollment record. I H</v>
      </c>
    </row>
    <row r="31" spans="1:4">
      <c r="A31" s="25" t="str">
        <v>CCLF8</v>
      </c>
      <c r="B31" s="25">
        <v>9</v>
      </c>
      <c r="C31" s="25" t="str">
        <v>BENE_AGE</v>
      </c>
      <c r="D31" s="26" t="str">
        <v>The beneficiary’s current age, as calculated by subtracting the beneficiary’s date of birth from the current date. I H</v>
      </c>
    </row>
    <row r="32" spans="1:4">
      <c r="A32" s="23" t="str">
        <v>CCLF8</v>
      </c>
      <c r="B32" s="23">
        <v>13</v>
      </c>
      <c r="C32" s="23" t="str">
        <v>BENE_RNG_BGN_DT</v>
      </c>
      <c r="D32" s="24" t="str">
        <v>The date the beneficiary enrolled in Hospice. I H</v>
      </c>
    </row>
    <row r="33" spans="1:4">
      <c r="A33" s="25" t="str">
        <v>CCLF8</v>
      </c>
      <c r="B33" s="25">
        <v>14</v>
      </c>
      <c r="C33" s="25" t="str">
        <v>BENE_RNG_END_DT</v>
      </c>
      <c r="D33" s="26" t="str">
        <v>The date the beneficiary is- enrolled in hospice. I H</v>
      </c>
    </row>
    <row r="34" spans="1:4">
      <c r="A34" s="23" t="str">
        <v>CCLF8</v>
      </c>
      <c r="B34" s="23">
        <v>22</v>
      </c>
      <c r="C34" s="23" t="str">
        <v>BENE_LINE_1_ADR</v>
      </c>
      <c r="D34" s="24" t="str">
        <v>The first line of the street address. I</v>
      </c>
    </row>
    <row r="35" spans="1:4">
      <c r="A35" s="25" t="str">
        <v>CCLF8</v>
      </c>
      <c r="B35" s="25">
        <v>23</v>
      </c>
      <c r="C35" s="25" t="str">
        <v>BENE_LINE_2_ADR</v>
      </c>
      <c r="D35" s="26" t="str">
        <v>The second line of the street address. I</v>
      </c>
    </row>
    <row r="36" spans="1:4">
      <c r="A36" s="23" t="str">
        <v>CCLF8</v>
      </c>
      <c r="B36" s="23">
        <v>24</v>
      </c>
      <c r="C36" s="23" t="str">
        <v>BENE_LINE_3_ADR</v>
      </c>
      <c r="D36" s="24" t="str">
        <v>The third line of the street address. I</v>
      </c>
    </row>
    <row r="37" spans="1:4">
      <c r="A37" s="25" t="str">
        <v>CCLF8</v>
      </c>
      <c r="B37" s="25">
        <v>25</v>
      </c>
      <c r="C37" s="25" t="str">
        <v>BENE_LINE_4_ADR</v>
      </c>
      <c r="D37" s="26" t="str">
        <v>The fourth line of the street address. I</v>
      </c>
    </row>
    <row r="38" spans="1:4">
      <c r="A38" s="23" t="str">
        <v>CCLF8</v>
      </c>
      <c r="B38" s="23">
        <v>26</v>
      </c>
      <c r="C38" s="23" t="str">
        <v>BENE_LINE_5_ADR</v>
      </c>
      <c r="D38" s="24" t="str">
        <v>The fifth line of the street address. I</v>
      </c>
    </row>
    <row r="39" spans="1:4">
      <c r="A39" s="25" t="str">
        <v>CCLF8</v>
      </c>
      <c r="B39" s="25">
        <v>27</v>
      </c>
      <c r="C39" s="25" t="str">
        <v>BENE_LINE_6_ADR</v>
      </c>
      <c r="D39" s="26" t="str">
        <v>The sixth line of the street address. I</v>
      </c>
    </row>
    <row r="40" spans="1:4">
      <c r="A40" s="23" t="str">
        <v>CCLF8</v>
      </c>
      <c r="B40" s="23">
        <v>31</v>
      </c>
      <c r="C40" s="23" t="str">
        <v>GEO_ZIP4_CD</v>
      </c>
      <c r="D40" s="24" t="str">
        <v>A four-digit extension to a ZIP Code that represents a subdivision for mailing purposes of the ZIP Code. I</v>
      </c>
    </row>
    <row r="41" spans="1:4">
      <c r="A41" s="25" t="str">
        <v>CCLF9</v>
      </c>
      <c r="B41" s="25">
        <v>1</v>
      </c>
      <c r="C41" s="25" t="str">
        <v>HICN_MBI_XREF_IND…</v>
      </c>
      <c r="D41" s="26" t="str">
        <v>M = MBI
Note: 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v>
      </c>
    </row>
    <row r="42" spans="1:4">
      <c r="A42" s="23" t="str">
        <v>CCLF9</v>
      </c>
      <c r="B42" s="23">
        <v>6</v>
      </c>
      <c r="C42" s="23" t="str">
        <v>BENE_RRB_NUM</v>
      </c>
      <c r="D42" s="24" t="str">
        <v>Legacy RRB number.
Note: To comply with MACRA of 2015, after the end of the New Medicare Card Transition Period in December 2019, only the Medicare Beneficiary Identifier (MBI) will be accepted on claims, and the HICN and RRB will no longer be displayed. These fields will be blank effective January 1, 2020, in CCLF files.</v>
      </c>
    </row>
    <row r="43" spans="1:4">
      <c r="A43" s="25" t="str">
        <v>CCLFA</v>
      </c>
      <c r="B43" s="25">
        <v>3</v>
      </c>
      <c r="C43" s="25" t="str">
        <v>BENE_HIC_NUM</v>
      </c>
      <c r="D43" s="26" t="str">
        <v>Legacy Beneficiary HICN field.
Note: 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v>
      </c>
    </row>
    <row r="44" spans="1:4">
      <c r="A44" s="23" t="str">
        <v>CCLFA</v>
      </c>
      <c r="B44" s="23">
        <v>16</v>
      </c>
      <c r="C44" s="23" t="str">
        <v>CLM_PBP_INCLSN_AMT</v>
      </c>
      <c r="D44" s="24" t="str">
        <v>The amount that would have been paid in the absence of PBP/ AIPBP Reduction.
The value for the PBP/AIPBP Inclusion Amount is derived from the table and column called “CMS_VIEW_CLM_PRD.CLM_VAL_AMT” when the value code within the field called “CLM_VAL_CD” equals “Q0.”</v>
      </c>
    </row>
    <row r="45" spans="1:4">
      <c r="A45" s="25" t="str">
        <v>CCLFA</v>
      </c>
      <c r="B45" s="25">
        <v>17</v>
      </c>
      <c r="C45" s="25" t="str">
        <v>CLM_PBP_RDCTN_AMT</v>
      </c>
      <c r="D45" s="26" t="str">
        <v>The PBP/AIPBP Reduction Amount withheld from payment to the Provider.
The value for the PBP/AIPBP Reduction Amount is derived from the table and column called “CMS_VIEW_CLM_PRD.CLM_VAL_AMT” when the value code within the field called “CLM_VAL_CD” equals “Q1.”</v>
      </c>
    </row>
    <row r="46" spans="1:4">
      <c r="A46" s="23" t="str">
        <v>CCLFA</v>
      </c>
      <c r="B46" s="23">
        <v>27</v>
      </c>
      <c r="C46" s="23" t="str">
        <v>CLM_OPRTNL_OUTLR_AMT</v>
      </c>
      <c r="D46" s="24" t="str">
        <v>Operating Outlier Amount (DSH)</v>
      </c>
    </row>
    <row r="47" spans="1:4">
      <c r="A47" s="25" t="str">
        <v>CCLFA</v>
      </c>
      <c r="B47" s="25">
        <v>28</v>
      </c>
      <c r="C47" s="25" t="str">
        <v>CLM_MDCR_NEW_TECH_AMT</v>
      </c>
      <c r="D47" s="26" t="str">
        <v>Medicare new technology add-on payment</v>
      </c>
    </row>
    <row r="48" spans="1:4">
      <c r="A48" s="23" t="str">
        <v>CCLFA</v>
      </c>
      <c r="B48" s="23">
        <v>29</v>
      </c>
      <c r="C48" s="23" t="str">
        <v>CLM_ISLET_ISOLN_AMT</v>
      </c>
      <c r="D48" s="24" t="str">
        <v>Islet Isolation Add-on payment amount</v>
      </c>
    </row>
    <row r="49" spans="1:4">
      <c r="A49" s="25" t="str">
        <v>CCLFA</v>
      </c>
      <c r="B49" s="25">
        <v>30</v>
      </c>
      <c r="C49" s="25" t="str">
        <v>CLM_SQSTRTN_RDCTN_AMT</v>
      </c>
      <c r="D49" s="26" t="str">
        <v>The payment to the provider will be reduced by the amount specified by CMS.</v>
      </c>
    </row>
    <row r="50" spans="1:4">
      <c r="A50" s="23" t="str">
        <v>CCLFA</v>
      </c>
      <c r="B50" s="23">
        <v>33</v>
      </c>
      <c r="C50" s="23" t="str">
        <v>CLM_MIPS_PMT_AMT</v>
      </c>
      <c r="D50" s="24" t="str">
        <v>Capital MIPS payment costs</v>
      </c>
    </row>
    <row r="51" spans="1:4">
      <c r="A51" s="25" t="str">
        <v>CCLFB</v>
      </c>
      <c r="B51" s="25">
        <v>4</v>
      </c>
      <c r="C51" s="25" t="str">
        <v>BENE_HIC_NUM</v>
      </c>
      <c r="D51" s="26" t="str">
        <v>Legacy Beneficiary HICN field.
Note: To comply with MACRA of 2015, after the end of the New Medicare Card Transition Period in December 2019, only the MBI will be accepted on claims, and the HICN value will no longer be displayed. The Beneficiary HIC Number will be blank in CCLFs generated effective January 1, 2020, onwards.</v>
      </c>
    </row>
    <row r="52" spans="1:4">
      <c r="A52" s="23" t="str">
        <v>CCLFB</v>
      </c>
      <c r="B52" s="23">
        <v>16</v>
      </c>
      <c r="C52" s="23" t="str">
        <v>CLM_PBP_INCLSN_AMT</v>
      </c>
      <c r="D52" s="24" t="str">
        <v>The amount that would have been paid in the absence of PBP/AIPBP Reduction.
The value for the PBP/AIPBP Inclusion Amount is derived from the table and column called “CMS_VIEW_CLM_PRD.CLM_LINE_OTHR_APLD_AMT” when the value code within the field called “CLM_LINE_OTHR_APLD_CD” equals “J.”</v>
      </c>
    </row>
    <row r="53" spans="1:4">
      <c r="A53" s="25" t="str">
        <v>CCLFB</v>
      </c>
      <c r="B53" s="25">
        <v>17</v>
      </c>
      <c r="C53" s="25" t="str">
        <v>CLM_PBP_RDCTN_AMT</v>
      </c>
      <c r="D53" s="26" t="str">
        <v>The PBP/AIPBP Reduction Amount withheld from payment to the Provider.
The value for the PBP/AIPBP Reduction Amount is derived from the table and column called “CMS_VIEW_CLM_PRD.CLM_LINE_OTHR_APLD_AMT” when the value code within the field called “CLM_LINE_OTHR_APLD_CD” equals “L.”</v>
      </c>
    </row>
    <row r="54" spans="1:4">
      <c r="A54" s="23" t="str">
        <v>CCLFB</v>
      </c>
      <c r="B54" s="23">
        <v>20</v>
      </c>
      <c r="C54" s="23" t="str">
        <v>CLM_SQSTRTN_RDCTN_AMT</v>
      </c>
      <c r="D54" s="24" t="str">
        <v>The payment to the provider will be reduced by the amount specified by CMS. Only one period has been defined by CMS for a 2% reduction that began on 04/01/2013 as part of government sequestration.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2026-04-17T15:13:19Z</dcterms:created>
  <dcterms:modified xsi:type="dcterms:W3CDTF">2026-06-04T21:54:27Z</dcterms:modified>
  <cp:category/>
  <cp:contentStatus/>
</cp:coreProperties>
</file>